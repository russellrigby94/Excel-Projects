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9162E958-88F3-4551-A235-96EA78CD2BD4}" xr6:coauthVersionLast="47" xr6:coauthVersionMax="47" xr10:uidLastSave="{00000000-0000-0000-0000-000000000000}"/>
  <bookViews>
    <workbookView xWindow="28680" yWindow="660" windowWidth="29040" windowHeight="16440" firstSheet="6" activeTab="6" xr2:uid="{00000000-000D-0000-FFFF-FFFF00000000}"/>
  </bookViews>
  <sheets>
    <sheet name="Bike Sales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8"/>
  <pivotCaches>
    <pivotCache cacheId="2172" r:id="rId8"/>
    <pivotCache cacheId="217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/>
  <c r="E4" i="3" a="1"/>
  <c r="E4" i="3"/>
  <c r="E5" i="3" a="1"/>
  <c r="E5" i="3"/>
  <c r="E6" i="3" a="1"/>
  <c r="E6" i="3"/>
  <c r="E2" i="3" a="1"/>
  <c r="E2" i="3"/>
  <c r="D3" i="3" a="1"/>
  <c r="D3" i="3"/>
  <c r="D4" i="3" a="1"/>
  <c r="D4" i="3"/>
  <c r="D5" i="3" a="1"/>
  <c r="D5" i="3"/>
  <c r="D6" i="3" a="1"/>
  <c r="D6" i="3"/>
  <c r="D2" i="3" a="1"/>
  <c r="D2" i="3"/>
  <c r="C3" i="3" a="1"/>
  <c r="C3" i="3"/>
  <c r="C4" i="3" a="1"/>
  <c r="C4" i="3"/>
  <c r="C5" i="3" a="1"/>
  <c r="C5" i="3"/>
  <c r="C6" i="3" a="1"/>
  <c r="C6" i="3"/>
  <c r="C2" i="3" a="1"/>
  <c r="C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<sst xmlns="http://schemas.openxmlformats.org/spreadsheetml/2006/main" count="914" uniqueCount="197">
  <si>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</si>
  <si>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</si>
  <si>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</si>
  <si>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</si>
  <si>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</si>
  <si>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</si>
  <si>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</si>
  <si>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</si>
  <si>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Countries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</si>
  <si>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</si>
  <si>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</si>
  <si>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</si>
  <si>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</si>
  <si>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</si>
  <si>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</si>
  <si>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</si>
  <si>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</si>
  <si>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</si>
  <si>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</si>
  <si>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</si>
  <si>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</si>
  <si>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</si>
  <si>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</si>
  <si>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</si>
  <si>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</si>
  <si>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</si>
  <si>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</si>
  <si>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</si>
  <si>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</si>
  <si>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</si>
  <si>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</si>
  <si>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</si>
  <si>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</si>
  <si>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</si>
  <si>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</si>
  <si>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</si>
  <si>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</si>
  <si>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</si>
  <si>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</si>
  <si>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</si>
  <si>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</si>
  <si>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</si>
  <si>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</si>
  <si>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</si>
  <si>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</si>
  <si>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</si>
  <si>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</si>
  <si>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</si>
  <si>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</si>
  <si>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</si>
  <si>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</si>
  <si>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</si>
  <si>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</si>
  <si>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</si>
  <si>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</si>
  <si>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</si>
  <si>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</si>
  <si>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</si>
  <si>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</si>
  <si>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</si>
  <si>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</si>
  <si>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</si>
  <si>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</si>
  <si>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</si>
  <si>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</si>
  <si>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</si>
  <si>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</si>
  <si>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</si>
  <si>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</si>
  <si>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</si>
  <si>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</si>
  <si>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</si>
  <si>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</si>
  <si>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</si>
  <si>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</si>
  <si>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</si>
  <si>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</si>
  <si>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</si>
  <si>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</si>
  <si>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</si>
  <si>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</si>
  <si>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</si>
  <si>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</si>
  <si>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</si>
  <si>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</si>
  <si>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</si>
  <si>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</si>
  <si>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</si>
  <si>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</si>
  <si>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</si>
  <si>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</si>
  <si>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</si>
  <si>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</si>
  <si>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</si>
  <si>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</si>
  <si>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</si>
  <si>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</si>
  <si>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</si>
  <si>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</si>
  <si>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</si>
  <si>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</si>
  <si>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</si>
  <si>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</si>
  <si>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</si>
  <si>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</si>
  <si>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</si>
  <si>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</si>
  <si>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</si>
  <si>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</si>
  <si>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</si>
  <si>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</si>
  <si>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</si>
  <si>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</si>
  <si>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</si>
  <si>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</si>
  <si>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</si>
  <si>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</si>
  <si>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</si>
  <si>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</si>
  <si>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</si>
  <si>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</si>
  <si>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</si>
  <si>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</si>
  <si>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</si>
  <si>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</si>
  <si>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</si>
  <si>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</si>
  <si>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</si>
  <si>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</si>
  <si>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</si>
  <si>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</si>
  <si>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</si>
  <si>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</si>
  <si>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</si>
  <si>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</si>
  <si>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</si>
  <si>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</si>
  <si>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</si>
  <si>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</si>
  <si>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</si>
  <si>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</si>
  <si>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</si>
  <si>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</si>
  <si>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</si>
  <si>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</si>
  <si>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</si>
  <si>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</si>
  <si>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</si>
  <si>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</si>
  <si>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</si>
  <si>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</si>
  <si>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</si>
  <si>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</si>
  <si>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</si>
  <si>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</si>
  <si>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</si>
  <si>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</si>
  <si>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</si>
  <si>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</si>
  <si>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</si>
  <si>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</si>
  <si>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</si>
  <si>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</si>
  <si>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</si>
  <si>
    <t>Name</t>
  </si>
  <si>
    <t>Scores</t>
  </si>
  <si>
    <t>Grade</t>
  </si>
  <si>
    <t>Mat</t>
  </si>
  <si>
    <t>John</t>
  </si>
  <si>
    <t>Elin</t>
  </si>
  <si>
    <t>Zak</t>
  </si>
  <si>
    <t>Henry</t>
  </si>
  <si>
    <t xml:space="preserve">Sum of  Profit 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</si>
  <si>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</si>
  <si>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</si>
  <si>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</si>
  <si>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Yorkshire </t>
  </si>
  <si>
    <t>Laptops </t>
  </si>
  <si>
    <t>500 </t>
  </si>
  <si>
    <t>Smartphones </t>
  </si>
  <si>
    <t>200 </t>
  </si>
  <si>
    <t>Cornwall </t>
  </si>
  <si>
    <t>700 </t>
  </si>
  <si>
    <t>Printers </t>
  </si>
  <si>
    <t>400 </t>
  </si>
  <si>
    <t>Lancashire </t>
  </si>
  <si>
    <t>150 </t>
  </si>
  <si>
    <t>600 </t>
  </si>
  <si>
    <t>Essex </t>
  </si>
  <si>
    <t>800 </t>
  </si>
  <si>
    <t>300 </t>
  </si>
  <si>
    <t>Durham </t>
  </si>
  <si>
    <t>250 </t>
  </si>
  <si>
    <t>Greater Manchester </t>
  </si>
  <si>
    <t>Count of Sales Volume </t>
  </si>
  <si>
    <t>Product </t>
  </si>
  <si>
    <t>County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</si>
</sst>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wrapText="1" readingOrder="1"/>
    </xf>
    <xf numFmtId="0" fontId="22" fillId="0" borderId="11" xfId="0" applyFont="1" applyBorder="1" applyAlignment="1">
      <alignment wrapText="1" readingOrder="1"/>
    </xf>
    <xf numFmtId="0" fontId="21" fillId="0" borderId="13" xfId="0" applyFont="1" applyBorder="1" applyAlignment="1">
      <alignment wrapText="1" readingOrder="1"/>
    </xf>
    <xf numFmtId="0" fontId="21" fillId="0" borderId="14" xfId="0" applyFont="1" applyBorder="1" applyAlignment="1">
      <alignment wrapText="1" readingOrder="1"/>
    </xf>
    <xf numFmtId="0" fontId="21" fillId="0" borderId="16" xfId="0" applyFont="1" applyBorder="1" applyAlignment="1">
      <alignment wrapText="1" readingOrder="1"/>
    </xf>
    <xf numFmtId="0" fontId="21" fillId="0" borderId="17" xfId="0" applyFont="1" applyBorder="1" applyAlignment="1">
      <alignment wrapText="1" readingOrder="1"/>
    </xf>
    <xf numFmtId="2" fontId="22" fillId="0" borderId="12" xfId="0" applyNumberFormat="1" applyFont="1" applyBorder="1" applyAlignment="1">
      <alignment wrapText="1" readingOrder="1"/>
    </xf>
    <xf numFmtId="2" fontId="21" fillId="0" borderId="15" xfId="0" applyNumberFormat="1" applyFont="1" applyBorder="1" applyAlignment="1">
      <alignment wrapText="1" readingOrder="1"/>
    </xf>
    <xf numFmtId="2" fontId="21" fillId="0" borderId="18" xfId="0" applyNumberFormat="1" applyFont="1" applyBorder="1" applyAlignment="1">
      <alignment wrapText="1" readingOrder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Russell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0-4B22-AD8D-822CA5BA2844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0-4B22-AD8D-822CA5BA2844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0-4B22-AD8D-822CA5BA2844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00-4B22-AD8D-822CA5BA2844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00-4B22-AD8D-822CA5BA2844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00-4B22-AD8D-822CA5BA2844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00-4B22-AD8D-822CA5BA2844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100-4B22-AD8D-822CA5BA2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8687111"/>
        <c:axId val="1768689159"/>
      </c:barChart>
      <c:catAx>
        <c:axId val="176868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89159"/>
        <c:crosses val="autoZero"/>
        <c:auto val="1"/>
        <c:lblAlgn val="ctr"/>
        <c:lblOffset val="100"/>
        <c:noMultiLvlLbl val="0"/>
      </c:catAx>
      <c:valAx>
        <c:axId val="176868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8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Russell - Copy.xlsx]Sheet4!PivotTable2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Sheet4!$A$4:$A$28</c:f>
              <c:strCache>
                <c:ptCount val="24"/>
                <c:pt idx="0">
                  <c:v>12/1/2021</c:v>
                </c:pt>
                <c:pt idx="1">
                  <c:v>12/2/2021</c:v>
                </c:pt>
                <c:pt idx="2">
                  <c:v>12/3/2021</c:v>
                </c:pt>
                <c:pt idx="3">
                  <c:v>12/4/2021</c:v>
                </c:pt>
                <c:pt idx="4">
                  <c:v>12/5/2021</c:v>
                </c:pt>
                <c:pt idx="5">
                  <c:v>12/6/2021</c:v>
                </c:pt>
                <c:pt idx="6">
                  <c:v>12/7/2021</c:v>
                </c:pt>
                <c:pt idx="7">
                  <c:v>12/8/2021</c:v>
                </c:pt>
                <c:pt idx="8">
                  <c:v>12/9/2021</c:v>
                </c:pt>
                <c:pt idx="9">
                  <c:v>12/10/2021</c:v>
                </c:pt>
                <c:pt idx="10">
                  <c:v>12/11/2021</c:v>
                </c:pt>
                <c:pt idx="11">
                  <c:v>12/12/2021</c:v>
                </c:pt>
                <c:pt idx="12">
                  <c:v>12/13/2021</c:v>
                </c:pt>
                <c:pt idx="13">
                  <c:v>12/14/2021</c:v>
                </c:pt>
                <c:pt idx="14">
                  <c:v>12/15/2021</c:v>
                </c:pt>
                <c:pt idx="15">
                  <c:v>12/16/2021</c:v>
                </c:pt>
                <c:pt idx="16">
                  <c:v>12/17/2021</c:v>
                </c:pt>
                <c:pt idx="17">
                  <c:v>12/18/2021</c:v>
                </c:pt>
                <c:pt idx="18">
                  <c:v>12/19/2021</c:v>
                </c:pt>
                <c:pt idx="19">
                  <c:v>12/20/2021</c:v>
                </c:pt>
                <c:pt idx="20">
                  <c:v>12/21/2021</c:v>
                </c:pt>
                <c:pt idx="21">
                  <c:v>12/22/2021</c:v>
                </c:pt>
                <c:pt idx="22">
                  <c:v>12/23/2021</c:v>
                </c:pt>
                <c:pt idx="23">
                  <c:v>12/24/2021</c:v>
                </c:pt>
              </c:strCache>
            </c:strRef>
          </c:cat>
          <c:val>
            <c:numRef>
              <c:f>Sheet4!$B$4:$B$28</c:f>
              <c:numCache>
                <c:formatCode>"$"#,##0.00_);[Red]\("$"#,##0.00\)</c:formatCode>
                <c:ptCount val="24"/>
                <c:pt idx="0">
                  <c:v>5226</c:v>
                </c:pt>
                <c:pt idx="1">
                  <c:v>1047</c:v>
                </c:pt>
                <c:pt idx="2">
                  <c:v>4172</c:v>
                </c:pt>
                <c:pt idx="3">
                  <c:v>1396</c:v>
                </c:pt>
                <c:pt idx="4">
                  <c:v>10441</c:v>
                </c:pt>
                <c:pt idx="5">
                  <c:v>4187</c:v>
                </c:pt>
                <c:pt idx="6">
                  <c:v>3504</c:v>
                </c:pt>
                <c:pt idx="7">
                  <c:v>7575</c:v>
                </c:pt>
                <c:pt idx="8">
                  <c:v>4008</c:v>
                </c:pt>
                <c:pt idx="9">
                  <c:v>7991</c:v>
                </c:pt>
                <c:pt idx="10">
                  <c:v>6273</c:v>
                </c:pt>
                <c:pt idx="11">
                  <c:v>9806</c:v>
                </c:pt>
                <c:pt idx="12">
                  <c:v>5505</c:v>
                </c:pt>
                <c:pt idx="13">
                  <c:v>3500</c:v>
                </c:pt>
                <c:pt idx="14">
                  <c:v>1054</c:v>
                </c:pt>
                <c:pt idx="15">
                  <c:v>5226</c:v>
                </c:pt>
                <c:pt idx="16">
                  <c:v>3511</c:v>
                </c:pt>
                <c:pt idx="17">
                  <c:v>14679</c:v>
                </c:pt>
                <c:pt idx="18">
                  <c:v>31422</c:v>
                </c:pt>
                <c:pt idx="19">
                  <c:v>12923</c:v>
                </c:pt>
                <c:pt idx="20">
                  <c:v>3860</c:v>
                </c:pt>
                <c:pt idx="21">
                  <c:v>9688</c:v>
                </c:pt>
                <c:pt idx="22">
                  <c:v>2342</c:v>
                </c:pt>
                <c:pt idx="23">
                  <c:v>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2-414B-BE67-F5DA48030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346824"/>
        <c:axId val="782487560"/>
      </c:lineChart>
      <c:catAx>
        <c:axId val="78134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87560"/>
        <c:crosses val="autoZero"/>
        <c:auto val="1"/>
        <c:lblAlgn val="ctr"/>
        <c:lblOffset val="100"/>
        <c:noMultiLvlLbl val="0"/>
      </c:catAx>
      <c:valAx>
        <c:axId val="78248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4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17</xdr:row>
      <xdr:rowOff>9525</xdr:rowOff>
    </xdr:from>
    <xdr:to>
      <xdr:col>11</xdr:col>
      <xdr:colOff>200025</xdr:colOff>
      <xdr:row>41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A97B3-63D0-430B-F27C-5696D74F6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161925</xdr:rowOff>
    </xdr:from>
    <xdr:to>
      <xdr:col>15</xdr:col>
      <xdr:colOff>276225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28646-31F9-6DA4-8825-36D4B1EFB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575506134257" createdVersion="8" refreshedVersion="8" minRefreshableVersion="3" recordCount="88" xr:uid="{9DF16F60-33D0-4ED2-AB30-E4271BDE7A72}">
  <cacheSource type="worksheet">
    <worksheetSource ref="A1:T89" sheet="Bike Sales"/>
  </cacheSource>
  <cacheFields count="20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ies" numFmtId="0">
      <sharedItems count="6">
        <s v="United States"/>
        <s v="United Kingdom"/>
        <s v="Australia"/>
        <s v="Germany"/>
        <s v="Canada"/>
        <s v="France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8.737193402776" createdVersion="8" refreshedVersion="8" minRefreshableVersion="3" recordCount="12" xr:uid="{27BD83A9-E9DF-4E8A-B562-2B30E316A791}">
  <cacheSource type="worksheet">
    <worksheetSource ref="A1:C13" sheet="Sheet5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unt="9">
        <s v="500 "/>
        <s v="200 "/>
        <s v="700 "/>
        <s v="400 "/>
        <s v="150 "/>
        <s v="600 "/>
        <s v="800 "/>
        <s v="300 "/>
        <s v="250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x v="0"/>
    <x v="0"/>
    <x v="0"/>
    <x v="0"/>
    <s v="California"/>
    <x v="0"/>
    <s v="Mountain Bikes"/>
    <x v="0"/>
    <n v="4"/>
    <n v="1252"/>
    <n v="2295"/>
    <n v="4172"/>
    <n v="5008"/>
    <n v="9180"/>
  </r>
  <r>
    <s v="000261695"/>
    <x v="0"/>
    <n v="1"/>
    <s v="December"/>
    <n v="2021"/>
    <n v="44"/>
    <x v="0"/>
    <x v="1"/>
    <x v="1"/>
    <x v="1"/>
    <s v="England"/>
    <x v="0"/>
    <s v="Mountain Bikes"/>
    <x v="1"/>
    <n v="1"/>
    <n v="1266"/>
    <n v="2320"/>
    <n v="1054"/>
    <n v="1266"/>
    <n v="2320"/>
  </r>
  <r>
    <s v="000261697"/>
    <x v="1"/>
    <n v="2"/>
    <s v="December"/>
    <n v="2021"/>
    <n v="37"/>
    <x v="0"/>
    <x v="1"/>
    <x v="0"/>
    <x v="0"/>
    <s v="California"/>
    <x v="0"/>
    <s v="Mountain Bikes"/>
    <x v="2"/>
    <n v="2"/>
    <n v="420"/>
    <n v="769"/>
    <n v="698"/>
    <n v="840"/>
    <n v="1538"/>
  </r>
  <r>
    <s v="000261698"/>
    <x v="1"/>
    <n v="2"/>
    <s v="December"/>
    <n v="2021"/>
    <n v="31"/>
    <x v="1"/>
    <x v="0"/>
    <x v="2"/>
    <x v="2"/>
    <s v="New South Wales"/>
    <x v="0"/>
    <s v="Mountain Bikes"/>
    <x v="3"/>
    <n v="1"/>
    <n v="420"/>
    <n v="769"/>
    <n v="349"/>
    <n v="420"/>
    <n v="769"/>
  </r>
  <r>
    <s v="000261699"/>
    <x v="2"/>
    <n v="3"/>
    <s v="December"/>
    <n v="2021"/>
    <n v="37"/>
    <x v="0"/>
    <x v="0"/>
    <x v="0"/>
    <x v="3"/>
    <s v="California"/>
    <x v="0"/>
    <s v="Mountain Bikes"/>
    <x v="0"/>
    <n v="2"/>
    <n v="1252"/>
    <n v="2295"/>
    <n v="2086"/>
    <n v="2504"/>
    <n v="4590"/>
  </r>
  <r>
    <s v="000261700"/>
    <x v="2"/>
    <n v="3"/>
    <s v="December"/>
    <n v="2021"/>
    <n v="24"/>
    <x v="2"/>
    <x v="0"/>
    <x v="1"/>
    <x v="1"/>
    <s v="England"/>
    <x v="0"/>
    <s v="Mountain Bikes"/>
    <x v="4"/>
    <n v="1"/>
    <n v="1252"/>
    <n v="2295"/>
    <n v="1043"/>
    <n v="1252"/>
    <n v="2295"/>
  </r>
  <r>
    <s v="000261701"/>
    <x v="2"/>
    <n v="3"/>
    <s v="December"/>
    <n v="2021"/>
    <n v="37"/>
    <x v="0"/>
    <x v="1"/>
    <x v="0"/>
    <x v="4"/>
    <s v="Washington"/>
    <x v="0"/>
    <s v="Mountain Bikes"/>
    <x v="0"/>
    <n v="1"/>
    <n v="1252"/>
    <n v="2295"/>
    <n v="1043"/>
    <n v="1252"/>
    <n v="2295"/>
  </r>
  <r>
    <s v="000261702"/>
    <x v="3"/>
    <n v="4"/>
    <s v="December"/>
    <n v="2021"/>
    <n v="31"/>
    <x v="1"/>
    <x v="0"/>
    <x v="2"/>
    <x v="2"/>
    <s v="New South Wales"/>
    <x v="0"/>
    <s v="Mountain Bikes"/>
    <x v="3"/>
    <n v="4"/>
    <n v="420"/>
    <n v="769"/>
    <n v="1396"/>
    <n v="1680"/>
    <n v="3076"/>
  </r>
  <r>
    <s v="000261703"/>
    <x v="4"/>
    <n v="5"/>
    <s v="December"/>
    <n v="2021"/>
    <n v="39"/>
    <x v="0"/>
    <x v="0"/>
    <x v="0"/>
    <x v="0"/>
    <s v="California"/>
    <x v="0"/>
    <s v="Mountain Bikes"/>
    <x v="0"/>
    <n v="4"/>
    <n v="1252"/>
    <n v="2295"/>
    <n v="4172"/>
    <n v="5008"/>
    <n v="9180"/>
  </r>
  <r>
    <s v="000261704"/>
    <x v="4"/>
    <m/>
    <s v="December"/>
    <n v="2021"/>
    <n v="42"/>
    <x v="0"/>
    <x v="1"/>
    <x v="3"/>
    <x v="5"/>
    <s v="Nordrhein-Westfalen"/>
    <x v="0"/>
    <s v="Mountain Bikes"/>
    <x v="4"/>
    <n v="4"/>
    <n v="1252"/>
    <n v="2295"/>
    <n v="4172"/>
    <n v="5008"/>
    <n v="9180"/>
  </r>
  <r>
    <s v="000261705"/>
    <x v="4"/>
    <n v="5"/>
    <s v="December"/>
    <n v="2021"/>
    <n v="35"/>
    <x v="0"/>
    <x v="0"/>
    <x v="2"/>
    <x v="2"/>
    <s v="Queensland"/>
    <x v="0"/>
    <s v="Mountain Bikes"/>
    <x v="5"/>
    <n v="1"/>
    <n v="1266"/>
    <n v="2320"/>
    <n v="1054"/>
    <n v="1266"/>
    <n v="2320"/>
  </r>
  <r>
    <s v="000261706"/>
    <x v="4"/>
    <n v="5"/>
    <s v="December"/>
    <n v="2021"/>
    <n v="37"/>
    <x v="0"/>
    <x v="0"/>
    <x v="0"/>
    <x v="0"/>
    <s v="California"/>
    <x v="0"/>
    <s v="Mountain Bikes"/>
    <x v="0"/>
    <n v="1"/>
    <n v="1252"/>
    <n v="2295"/>
    <n v="1043"/>
    <n v="1252"/>
    <n v="2295"/>
  </r>
  <r>
    <s v="000261707"/>
    <x v="5"/>
    <n v="6"/>
    <s v="December"/>
    <n v="2021"/>
    <n v="23"/>
    <x v="2"/>
    <x v="1"/>
    <x v="1"/>
    <x v="1"/>
    <s v="England"/>
    <x v="0"/>
    <s v="Mountain Bikes"/>
    <x v="2"/>
    <n v="3"/>
    <n v="420"/>
    <n v="769"/>
    <n v="1047"/>
    <n v="1260"/>
    <n v="2307"/>
  </r>
  <r>
    <s v="000261708"/>
    <x v="5"/>
    <n v="6"/>
    <s v="December"/>
    <n v="2021"/>
    <n v="27"/>
    <x v="1"/>
    <x v="1"/>
    <x v="4"/>
    <x v="6"/>
    <s v="British Columbia"/>
    <x v="0"/>
    <s v="Mountain Bikes"/>
    <x v="0"/>
    <n v="1"/>
    <n v="1252"/>
    <n v="2295"/>
    <n v="1043"/>
    <n v="1252"/>
    <n v="2295"/>
  </r>
  <r>
    <s v="000261709"/>
    <x v="5"/>
    <n v="6"/>
    <s v="December"/>
    <n v="2021"/>
    <n v="36"/>
    <x v="0"/>
    <x v="1"/>
    <x v="2"/>
    <x v="2"/>
    <s v="New South Wales"/>
    <x v="0"/>
    <s v="Mountain Bikes"/>
    <x v="6"/>
    <n v="1"/>
    <n v="1252"/>
    <n v="2295"/>
    <n v="1043"/>
    <n v="1252"/>
    <n v="2295"/>
  </r>
  <r>
    <s v="000261710"/>
    <x v="5"/>
    <n v="6"/>
    <s v="December"/>
    <n v="2021"/>
    <n v="47"/>
    <x v="0"/>
    <x v="1"/>
    <x v="1"/>
    <x v="1"/>
    <s v="England"/>
    <x v="0"/>
    <s v="Mountain Bikes"/>
    <x v="5"/>
    <n v="1"/>
    <n v="1266"/>
    <n v="2320"/>
    <n v="1054"/>
    <n v="1266"/>
    <n v="2320"/>
  </r>
  <r>
    <s v="000261711"/>
    <x v="6"/>
    <n v="7"/>
    <s v="December"/>
    <n v="2021"/>
    <n v="30"/>
    <x v="1"/>
    <x v="1"/>
    <x v="0"/>
    <x v="0"/>
    <s v="California"/>
    <x v="0"/>
    <s v="Mountain Bikes"/>
    <x v="7"/>
    <n v="4"/>
    <n v="420"/>
    <n v="769"/>
    <n v="1396"/>
    <n v="1680"/>
    <n v="3076"/>
  </r>
  <r>
    <s v="000261712"/>
    <x v="6"/>
    <n v="7"/>
    <s v="December"/>
    <n v="2021"/>
    <n v="38"/>
    <x v="0"/>
    <x v="1"/>
    <x v="0"/>
    <x v="0"/>
    <s v="California"/>
    <x v="0"/>
    <s v="Mountain Bikes"/>
    <x v="1"/>
    <n v="2"/>
    <n v="1266"/>
    <n v="2320"/>
    <n v="2108"/>
    <n v="2532"/>
    <n v="4640"/>
  </r>
  <r>
    <s v="000261713"/>
    <x v="7"/>
    <n v="8"/>
    <s v="December"/>
    <n v="2021"/>
    <n v="19"/>
    <x v="2"/>
    <x v="0"/>
    <x v="2"/>
    <x v="2"/>
    <s v="New South Wales"/>
    <x v="0"/>
    <s v="Mountain Bikes"/>
    <x v="8"/>
    <n v="4"/>
    <n v="308"/>
    <n v="565"/>
    <n v="1028"/>
    <n v="1232"/>
    <n v="2260"/>
  </r>
  <r>
    <s v="000261714"/>
    <x v="7"/>
    <n v="8"/>
    <s v="December"/>
    <n v="2021"/>
    <n v="30"/>
    <x v="1"/>
    <x v="0"/>
    <x v="4"/>
    <x v="6"/>
    <s v="British Columbia"/>
    <x v="0"/>
    <s v="Mountain Bikes"/>
    <x v="5"/>
    <n v="4"/>
    <n v="1266"/>
    <n v="2320"/>
    <n v="4216"/>
    <n v="5064"/>
    <n v="9280"/>
  </r>
  <r>
    <s v="000261715"/>
    <x v="7"/>
    <n v="8"/>
    <s v="December"/>
    <n v="2021"/>
    <n v="39"/>
    <x v="0"/>
    <x v="0"/>
    <x v="0"/>
    <x v="0"/>
    <s v="Oregon"/>
    <x v="0"/>
    <s v="Mountain Bikes"/>
    <x v="9"/>
    <n v="2"/>
    <n v="1252"/>
    <n v="2295"/>
    <n v="2086"/>
    <n v="2504"/>
    <n v="4590"/>
  </r>
  <r>
    <s v="000261716"/>
    <x v="7"/>
    <n v="8"/>
    <s v="December"/>
    <n v="2021"/>
    <n v="35"/>
    <x v="0"/>
    <x v="0"/>
    <x v="0"/>
    <x v="0"/>
    <s v="California"/>
    <x v="0"/>
    <s v="Mountain Bikes"/>
    <x v="9"/>
    <n v="1"/>
    <n v="295"/>
    <n v="540"/>
    <n v="245"/>
    <n v="295"/>
    <n v="540"/>
  </r>
  <r>
    <s v="000261717"/>
    <x v="8"/>
    <n v="9"/>
    <s v="December"/>
    <n v="2021"/>
    <n v="33"/>
    <x v="1"/>
    <x v="0"/>
    <x v="2"/>
    <x v="2"/>
    <s v="Victoria"/>
    <x v="0"/>
    <s v="Mountain Bikes"/>
    <x v="10"/>
    <n v="2"/>
    <n v="1898"/>
    <n v="3375"/>
    <n v="2954"/>
    <n v="3796"/>
    <n v="6750"/>
  </r>
  <r>
    <s v="000261718"/>
    <x v="8"/>
    <n v="9"/>
    <s v="December"/>
    <n v="2021"/>
    <n v="41"/>
    <x v="0"/>
    <x v="0"/>
    <x v="3"/>
    <x v="5"/>
    <s v="Hamburg"/>
    <x v="0"/>
    <s v="Mountain Bikes"/>
    <x v="1"/>
    <n v="1"/>
    <n v="1266"/>
    <n v="2320"/>
    <n v="1054"/>
    <n v="1266"/>
    <n v="2320"/>
  </r>
  <r>
    <s v="000261719"/>
    <x v="9"/>
    <n v="10"/>
    <s v="December"/>
    <n v="2021"/>
    <n v="34"/>
    <x v="1"/>
    <x v="0"/>
    <x v="0"/>
    <x v="0"/>
    <s v="California"/>
    <x v="0"/>
    <s v="Mountain Bikes"/>
    <x v="6"/>
    <n v="2"/>
    <n v="1252"/>
    <n v="2295"/>
    <n v="2086"/>
    <n v="2504"/>
    <n v="4590"/>
  </r>
  <r>
    <s v="000261720"/>
    <x v="9"/>
    <n v="10"/>
    <s v="December"/>
    <n v="2021"/>
    <n v="40"/>
    <x v="0"/>
    <x v="1"/>
    <x v="2"/>
    <x v="2"/>
    <s v="New South Wales"/>
    <x v="0"/>
    <s v="Mountain Bikes"/>
    <x v="6"/>
    <n v="2"/>
    <n v="1252"/>
    <n v="2295"/>
    <n v="2086"/>
    <n v="2504"/>
    <n v="4590"/>
  </r>
  <r>
    <s v="000261721"/>
    <x v="9"/>
    <n v="10"/>
    <s v="December"/>
    <n v="2021"/>
    <n v="26"/>
    <x v="1"/>
    <x v="1"/>
    <x v="1"/>
    <x v="1"/>
    <s v="England"/>
    <x v="0"/>
    <s v="Mountain Bikes"/>
    <x v="4"/>
    <n v="1"/>
    <n v="1252"/>
    <n v="2295"/>
    <n v="1043"/>
    <n v="1252"/>
    <n v="2295"/>
  </r>
  <r>
    <s v="000261722"/>
    <x v="9"/>
    <n v="10"/>
    <s v="December"/>
    <n v="2021"/>
    <n v="34"/>
    <x v="1"/>
    <x v="1"/>
    <x v="0"/>
    <x v="0"/>
    <s v="California"/>
    <x v="0"/>
    <s v="Mountain Bikes"/>
    <x v="11"/>
    <n v="1"/>
    <n v="295"/>
    <n v="540"/>
    <n v="245"/>
    <n v="295"/>
    <n v="540"/>
  </r>
  <r>
    <s v="000261723"/>
    <x v="9"/>
    <n v="10"/>
    <s v="December"/>
    <n v="2021"/>
    <n v="34"/>
    <x v="1"/>
    <x v="0"/>
    <x v="0"/>
    <x v="0"/>
    <s v="Washington"/>
    <x v="0"/>
    <s v="Mountain Bikes"/>
    <x v="12"/>
    <n v="1"/>
    <n v="1912"/>
    <n v="3400"/>
    <n v="1488"/>
    <n v="1912"/>
    <n v="3400"/>
  </r>
  <r>
    <s v="000261724"/>
    <x v="9"/>
    <n v="10"/>
    <s v="December"/>
    <n v="2021"/>
    <n v="38"/>
    <x v="0"/>
    <x v="1"/>
    <x v="2"/>
    <x v="2"/>
    <s v="New South Wales"/>
    <x v="0"/>
    <s v="Mountain Bikes"/>
    <x v="4"/>
    <n v="1"/>
    <n v="1252"/>
    <n v="2295"/>
    <n v="1043"/>
    <n v="1252"/>
    <n v="2295"/>
  </r>
  <r>
    <s v="000261725"/>
    <x v="10"/>
    <n v="11"/>
    <s v="December"/>
    <n v="2021"/>
    <n v="24"/>
    <x v="2"/>
    <x v="0"/>
    <x v="5"/>
    <x v="7"/>
    <s v="Seine (Paris)"/>
    <x v="0"/>
    <s v="Mountain Bikes"/>
    <x v="4"/>
    <n v="3"/>
    <n v="1252"/>
    <n v="2295"/>
    <n v="3129"/>
    <n v="3756"/>
    <n v="6885"/>
  </r>
  <r>
    <s v="000261726"/>
    <x v="10"/>
    <n v="11"/>
    <s v="December"/>
    <n v="2021"/>
    <n v="41"/>
    <x v="0"/>
    <x v="0"/>
    <x v="2"/>
    <x v="2"/>
    <s v="New South Wales"/>
    <x v="0"/>
    <s v="Mountain Bikes"/>
    <x v="7"/>
    <n v="2"/>
    <n v="420"/>
    <n v="769"/>
    <n v="698"/>
    <n v="840"/>
    <n v="1538"/>
  </r>
  <r>
    <s v="000261727"/>
    <x v="10"/>
    <n v="11"/>
    <s v="December"/>
    <n v="2021"/>
    <n v="27"/>
    <x v="1"/>
    <x v="1"/>
    <x v="4"/>
    <x v="6"/>
    <s v="British Columbia"/>
    <x v="0"/>
    <s v="Mountain Bikes"/>
    <x v="0"/>
    <n v="1"/>
    <n v="1252"/>
    <n v="2295"/>
    <n v="1043"/>
    <n v="1252"/>
    <n v="2295"/>
  </r>
  <r>
    <s v="000261728"/>
    <x v="10"/>
    <n v="11"/>
    <s v="December"/>
    <n v="2021"/>
    <n v="37"/>
    <x v="0"/>
    <x v="1"/>
    <x v="0"/>
    <x v="0"/>
    <s v="California"/>
    <x v="0"/>
    <s v="Mountain Bikes"/>
    <x v="2"/>
    <n v="1"/>
    <n v="420"/>
    <n v="769"/>
    <n v="349"/>
    <n v="420"/>
    <n v="769"/>
  </r>
  <r>
    <s v="000261729"/>
    <x v="10"/>
    <n v="11"/>
    <s v="December"/>
    <n v="2021"/>
    <n v="38"/>
    <x v="0"/>
    <x v="0"/>
    <x v="0"/>
    <x v="0"/>
    <s v="California"/>
    <x v="0"/>
    <s v="Mountain Bikes"/>
    <x v="5"/>
    <n v="1"/>
    <n v="1266"/>
    <n v="2320"/>
    <n v="1054"/>
    <n v="1266"/>
    <n v="2320"/>
  </r>
  <r>
    <s v="000261730"/>
    <x v="11"/>
    <n v="12"/>
    <s v="December"/>
    <n v="2021"/>
    <n v="36"/>
    <x v="0"/>
    <x v="0"/>
    <x v="2"/>
    <x v="2"/>
    <s v="New South Wales"/>
    <x v="0"/>
    <s v="Mountain Bikes"/>
    <x v="1"/>
    <n v="4"/>
    <n v="1266"/>
    <n v="2320"/>
    <n v="4216"/>
    <n v="5064"/>
    <n v="9280"/>
  </r>
  <r>
    <s v="000261731"/>
    <x v="11"/>
    <n v="12"/>
    <s v="December"/>
    <n v="2021"/>
    <n v="37"/>
    <x v="0"/>
    <x v="1"/>
    <x v="0"/>
    <x v="0"/>
    <s v="California"/>
    <x v="0"/>
    <s v="Mountain Bikes"/>
    <x v="2"/>
    <n v="4"/>
    <n v="420"/>
    <n v="769"/>
    <n v="1396"/>
    <n v="1680"/>
    <n v="3076"/>
  </r>
  <r>
    <s v="000261732"/>
    <x v="11"/>
    <n v="12"/>
    <s v="December"/>
    <n v="2021"/>
    <n v="34"/>
    <x v="1"/>
    <x v="1"/>
    <x v="2"/>
    <x v="2"/>
    <s v="New South Wales"/>
    <x v="0"/>
    <s v="Mountain Bikes"/>
    <x v="4"/>
    <n v="2"/>
    <n v="1252"/>
    <n v="2295"/>
    <n v="2086"/>
    <n v="2504"/>
    <n v="4590"/>
  </r>
  <r>
    <s v="000261733"/>
    <x v="11"/>
    <n v="12"/>
    <s v="December"/>
    <n v="2021"/>
    <n v="35"/>
    <x v="0"/>
    <x v="0"/>
    <x v="2"/>
    <x v="2"/>
    <s v="Victoria"/>
    <x v="0"/>
    <s v="Mountain Bikes"/>
    <x v="1"/>
    <n v="1"/>
    <n v="1266"/>
    <n v="2320"/>
    <n v="1054"/>
    <n v="1266"/>
    <n v="2320"/>
  </r>
  <r>
    <s v="000261734"/>
    <x v="11"/>
    <n v="12"/>
    <s v="December"/>
    <n v="2021"/>
    <n v="38"/>
    <x v="0"/>
    <x v="0"/>
    <x v="0"/>
    <x v="0"/>
    <s v="Washington"/>
    <x v="0"/>
    <s v="Mountain Bikes"/>
    <x v="1"/>
    <n v="1"/>
    <n v="1266"/>
    <n v="2320"/>
    <n v="1054"/>
    <n v="1266"/>
    <n v="2320"/>
  </r>
  <r>
    <s v="000261735"/>
    <x v="12"/>
    <n v="13"/>
    <s v="December"/>
    <n v="2021"/>
    <n v="32"/>
    <x v="1"/>
    <x v="0"/>
    <x v="2"/>
    <x v="2"/>
    <s v="Queensland"/>
    <x v="0"/>
    <s v="Mountain Bikes"/>
    <x v="1"/>
    <n v="3"/>
    <n v="1266"/>
    <n v="2320"/>
    <n v="3162"/>
    <n v="3798"/>
    <n v="6960"/>
  </r>
  <r>
    <s v="000261736"/>
    <x v="12"/>
    <n v="13"/>
    <s v="December"/>
    <n v="2021"/>
    <n v="40"/>
    <x v="0"/>
    <x v="0"/>
    <x v="0"/>
    <x v="0"/>
    <s v="California"/>
    <x v="0"/>
    <s v="Mountain Bikes"/>
    <x v="13"/>
    <n v="1"/>
    <n v="308"/>
    <n v="565"/>
    <n v="257"/>
    <n v="308"/>
    <n v="565"/>
  </r>
  <r>
    <s v="000261737"/>
    <x v="12"/>
    <n v="13"/>
    <s v="December"/>
    <n v="2021"/>
    <n v="44"/>
    <x v="0"/>
    <x v="0"/>
    <x v="1"/>
    <x v="1"/>
    <s v="England"/>
    <x v="0"/>
    <s v="Mountain Bikes"/>
    <x v="4"/>
    <n v="1"/>
    <n v="1252"/>
    <n v="2295"/>
    <n v="1043"/>
    <n v="1252"/>
    <n v="2295"/>
  </r>
  <r>
    <s v="000261738"/>
    <x v="12"/>
    <n v="13"/>
    <s v="December"/>
    <n v="2021"/>
    <n v="49"/>
    <x v="0"/>
    <x v="1"/>
    <x v="1"/>
    <x v="1"/>
    <s v="England"/>
    <x v="0"/>
    <s v="Mountain Bikes"/>
    <x v="4"/>
    <n v="1"/>
    <n v="1252"/>
    <n v="2295"/>
    <n v="1043"/>
    <n v="1252"/>
    <n v="2295"/>
  </r>
  <r>
    <s v="000261739"/>
    <x v="13"/>
    <n v="14"/>
    <s v="December"/>
    <n v="2021"/>
    <n v="30"/>
    <x v="1"/>
    <x v="0"/>
    <x v="0"/>
    <x v="0"/>
    <s v="Washington"/>
    <x v="0"/>
    <s v="Mountain Bikes"/>
    <x v="5"/>
    <n v="2"/>
    <n v="1266"/>
    <n v="2320"/>
    <n v="2108"/>
    <n v="2532"/>
    <n v="4640"/>
  </r>
  <r>
    <s v="000261740"/>
    <x v="13"/>
    <n v="14"/>
    <s v="December"/>
    <n v="2021"/>
    <n v="32"/>
    <x v="1"/>
    <x v="1"/>
    <x v="0"/>
    <x v="0"/>
    <s v="California"/>
    <x v="0"/>
    <s v="Mountain Bikes"/>
    <x v="0"/>
    <n v="1"/>
    <n v="1252"/>
    <n v="2295"/>
    <n v="1043"/>
    <n v="1252"/>
    <n v="2295"/>
  </r>
  <r>
    <s v="000261741"/>
    <x v="13"/>
    <n v="14"/>
    <s v="December"/>
    <n v="2021"/>
    <n v="32"/>
    <x v="1"/>
    <x v="0"/>
    <x v="2"/>
    <x v="2"/>
    <s v="Victoria"/>
    <x v="0"/>
    <s v="Mountain Bikes"/>
    <x v="2"/>
    <n v="1"/>
    <n v="420"/>
    <n v="769"/>
    <n v="349"/>
    <n v="420"/>
    <n v="769"/>
  </r>
  <r>
    <s v="000261742"/>
    <x v="14"/>
    <n v="15"/>
    <s v="December"/>
    <n v="2021"/>
    <n v="29"/>
    <x v="1"/>
    <x v="0"/>
    <x v="0"/>
    <x v="0"/>
    <s v="California"/>
    <x v="0"/>
    <s v="Mountain Bikes"/>
    <x v="1"/>
    <n v="1"/>
    <n v="1266"/>
    <n v="2320"/>
    <n v="1054"/>
    <n v="1266"/>
    <n v="2320"/>
  </r>
  <r>
    <s v="000261743"/>
    <x v="15"/>
    <n v="16"/>
    <s v="December"/>
    <n v="2021"/>
    <n v="33"/>
    <x v="1"/>
    <x v="0"/>
    <x v="2"/>
    <x v="2"/>
    <s v="New South Wales"/>
    <x v="0"/>
    <s v="Mountain Bikes"/>
    <x v="4"/>
    <n v="2"/>
    <n v="1252"/>
    <n v="2295"/>
    <n v="2086"/>
    <n v="2504"/>
    <n v="4590"/>
  </r>
  <r>
    <s v="000261744"/>
    <x v="15"/>
    <n v="16"/>
    <s v="December"/>
    <n v="2021"/>
    <n v="38"/>
    <x v="0"/>
    <x v="1"/>
    <x v="2"/>
    <x v="2"/>
    <s v="New South Wales"/>
    <x v="0"/>
    <s v="Mountain Bikes"/>
    <x v="4"/>
    <n v="2"/>
    <n v="1252"/>
    <n v="2295"/>
    <n v="2086"/>
    <n v="2504"/>
    <n v="4590"/>
  </r>
  <r>
    <s v="000261745"/>
    <x v="15"/>
    <n v="16"/>
    <s v="December"/>
    <n v="2021"/>
    <n v="27"/>
    <x v="1"/>
    <x v="0"/>
    <x v="5"/>
    <x v="7"/>
    <s v="Seine et Marne"/>
    <x v="0"/>
    <s v="Mountain Bikes"/>
    <x v="14"/>
    <n v="1"/>
    <n v="1266"/>
    <n v="2320"/>
    <n v="1054"/>
    <n v="1266"/>
    <n v="2320"/>
  </r>
  <r>
    <s v="000261746"/>
    <x v="16"/>
    <n v="17"/>
    <s v="December"/>
    <n v="2021"/>
    <n v="37"/>
    <x v="0"/>
    <x v="0"/>
    <x v="0"/>
    <x v="0"/>
    <s v="Washington"/>
    <x v="0"/>
    <s v="Mountain Bikes"/>
    <x v="5"/>
    <n v="2"/>
    <n v="1266"/>
    <n v="2320"/>
    <n v="2108"/>
    <n v="2532"/>
    <n v="4640"/>
  </r>
  <r>
    <s v="000261747"/>
    <x v="16"/>
    <n v="17"/>
    <s v="December"/>
    <n v="2021"/>
    <n v="31"/>
    <x v="1"/>
    <x v="1"/>
    <x v="2"/>
    <x v="2"/>
    <s v="New South Wales"/>
    <x v="0"/>
    <s v="Mountain Bikes"/>
    <x v="3"/>
    <n v="1"/>
    <n v="420"/>
    <n v="769"/>
    <n v="349"/>
    <n v="420"/>
    <n v="769"/>
  </r>
  <r>
    <s v="000261748"/>
    <x v="16"/>
    <n v="17"/>
    <s v="December"/>
    <n v="2021"/>
    <n v="42"/>
    <x v="0"/>
    <x v="0"/>
    <x v="3"/>
    <x v="5"/>
    <s v="Nordrhein-Westfalen"/>
    <x v="0"/>
    <s v="Mountain Bikes"/>
    <x v="14"/>
    <n v="1"/>
    <n v="1266"/>
    <n v="2320"/>
    <n v="1054"/>
    <n v="1266"/>
    <n v="2320"/>
  </r>
  <r>
    <s v="000261749"/>
    <x v="17"/>
    <n v="18"/>
    <s v="December"/>
    <n v="2021"/>
    <n v="35"/>
    <x v="0"/>
    <x v="0"/>
    <x v="2"/>
    <x v="2"/>
    <s v="New South Wales"/>
    <x v="0"/>
    <s v="Mountain Bikes"/>
    <x v="8"/>
    <n v="4"/>
    <n v="308"/>
    <n v="565"/>
    <n v="1028"/>
    <n v="1232"/>
    <n v="2260"/>
  </r>
  <r>
    <s v="000261750"/>
    <x v="17"/>
    <n v="18"/>
    <s v="December"/>
    <n v="2021"/>
    <n v="38"/>
    <x v="0"/>
    <x v="0"/>
    <x v="3"/>
    <x v="5"/>
    <s v="Nordrhein-Westfalen"/>
    <x v="0"/>
    <s v="Mountain Bikes"/>
    <x v="14"/>
    <n v="4"/>
    <n v="1266"/>
    <n v="2320"/>
    <n v="4216"/>
    <n v="5064"/>
    <n v="9280"/>
  </r>
  <r>
    <s v="000261751"/>
    <x v="17"/>
    <n v="18"/>
    <s v="December"/>
    <n v="2021"/>
    <n v="24"/>
    <x v="2"/>
    <x v="0"/>
    <x v="5"/>
    <x v="7"/>
    <s v="Seine Saint Denis"/>
    <x v="0"/>
    <s v="Mountain Bikes"/>
    <x v="5"/>
    <n v="3"/>
    <n v="1266"/>
    <n v="2320"/>
    <n v="3162"/>
    <n v="3798"/>
    <n v="6960"/>
  </r>
  <r>
    <s v="000261752"/>
    <x v="17"/>
    <n v="18"/>
    <s v="December"/>
    <n v="2021"/>
    <n v="26"/>
    <x v="1"/>
    <x v="0"/>
    <x v="1"/>
    <x v="1"/>
    <s v="England"/>
    <x v="0"/>
    <s v="Mountain Bikes"/>
    <x v="3"/>
    <n v="3"/>
    <n v="420"/>
    <n v="769"/>
    <n v="1047"/>
    <n v="1260"/>
    <n v="2307"/>
  </r>
  <r>
    <s v="000261753"/>
    <x v="17"/>
    <n v="18"/>
    <s v="December"/>
    <n v="2021"/>
    <n v="39"/>
    <x v="0"/>
    <x v="1"/>
    <x v="0"/>
    <x v="0"/>
    <s v="California"/>
    <x v="0"/>
    <s v="Mountain Bikes"/>
    <x v="6"/>
    <n v="3"/>
    <n v="1252"/>
    <n v="2295"/>
    <n v="3129"/>
    <n v="3756"/>
    <n v="6885"/>
  </r>
  <r>
    <s v="000261754"/>
    <x v="17"/>
    <n v="18"/>
    <s v="December"/>
    <n v="2021"/>
    <n v="26"/>
    <x v="1"/>
    <x v="1"/>
    <x v="5"/>
    <x v="7"/>
    <s v="Seine (Paris)"/>
    <x v="0"/>
    <s v="Mountain Bikes"/>
    <x v="0"/>
    <n v="1"/>
    <n v="1252"/>
    <n v="2295"/>
    <n v="1043"/>
    <n v="1252"/>
    <n v="2295"/>
  </r>
  <r>
    <s v="000261755"/>
    <x v="17"/>
    <n v="18"/>
    <s v="December"/>
    <n v="2021"/>
    <n v="36"/>
    <x v="0"/>
    <x v="1"/>
    <x v="0"/>
    <x v="0"/>
    <s v="Washington"/>
    <x v="0"/>
    <s v="Mountain Bikes"/>
    <x v="5"/>
    <n v="1"/>
    <n v="1266"/>
    <n v="2320"/>
    <n v="1054"/>
    <n v="1266"/>
    <n v="2320"/>
  </r>
  <r>
    <s v="000261756"/>
    <x v="18"/>
    <n v="19"/>
    <s v="December"/>
    <n v="2021"/>
    <n v="17"/>
    <x v="2"/>
    <x v="1"/>
    <x v="5"/>
    <x v="7"/>
    <s v="Nord"/>
    <x v="0"/>
    <s v="Mountain Bikes"/>
    <x v="14"/>
    <n v="4"/>
    <n v="1266"/>
    <n v="2320"/>
    <n v="4216"/>
    <n v="5064"/>
    <n v="9280"/>
  </r>
  <r>
    <s v="000261757"/>
    <x v="18"/>
    <n v="19"/>
    <s v="December"/>
    <n v="2021"/>
    <n v="19"/>
    <x v="2"/>
    <x v="0"/>
    <x v="2"/>
    <x v="2"/>
    <s v="Victoria"/>
    <x v="0"/>
    <s v="Mountain Bikes"/>
    <x v="15"/>
    <n v="4"/>
    <n v="295"/>
    <n v="540"/>
    <n v="980"/>
    <n v="1180"/>
    <n v="2160"/>
  </r>
  <r>
    <s v="000261758"/>
    <x v="18"/>
    <n v="19"/>
    <s v="December"/>
    <n v="2021"/>
    <n v="25"/>
    <x v="1"/>
    <x v="1"/>
    <x v="5"/>
    <x v="7"/>
    <s v="Seine (Paris)"/>
    <x v="0"/>
    <s v="Mountain Bikes"/>
    <x v="4"/>
    <n v="4"/>
    <n v="1252"/>
    <n v="2295"/>
    <n v="4172"/>
    <n v="5008"/>
    <n v="9180"/>
  </r>
  <r>
    <s v="000261759"/>
    <x v="18"/>
    <n v="19"/>
    <s v="December"/>
    <n v="2021"/>
    <n v="35"/>
    <x v="0"/>
    <x v="0"/>
    <x v="0"/>
    <x v="0"/>
    <s v="Oregon"/>
    <x v="0"/>
    <s v="Mountain Bikes"/>
    <x v="16"/>
    <n v="4"/>
    <n v="1898"/>
    <n v="3375"/>
    <n v="5908"/>
    <n v="7592"/>
    <n v="13500"/>
  </r>
  <r>
    <s v="000261760"/>
    <x v="18"/>
    <n v="19"/>
    <s v="December"/>
    <n v="2021"/>
    <n v="37"/>
    <x v="0"/>
    <x v="1"/>
    <x v="0"/>
    <x v="0"/>
    <s v="Oregon"/>
    <x v="0"/>
    <s v="Mountain Bikes"/>
    <x v="4"/>
    <n v="4"/>
    <n v="1252"/>
    <n v="2295"/>
    <n v="4172"/>
    <n v="5008"/>
    <n v="9180"/>
  </r>
  <r>
    <s v="000261761"/>
    <x v="18"/>
    <n v="19"/>
    <s v="December"/>
    <n v="2021"/>
    <n v="39"/>
    <x v="0"/>
    <x v="0"/>
    <x v="0"/>
    <x v="0"/>
    <s v="California"/>
    <x v="0"/>
    <s v="Mountain Bikes"/>
    <x v="0"/>
    <n v="4"/>
    <n v="1252"/>
    <n v="2295"/>
    <n v="4172"/>
    <n v="5008"/>
    <n v="9180"/>
  </r>
  <r>
    <s v="000261762"/>
    <x v="18"/>
    <n v="19"/>
    <s v="December"/>
    <n v="2021"/>
    <n v="63"/>
    <x v="0"/>
    <x v="0"/>
    <x v="2"/>
    <x v="2"/>
    <s v="Queensland"/>
    <x v="0"/>
    <s v="Mountain Bikes"/>
    <x v="0"/>
    <n v="4"/>
    <n v="1252"/>
    <n v="2295"/>
    <n v="4172"/>
    <n v="5008"/>
    <n v="9180"/>
  </r>
  <r>
    <s v="000261763"/>
    <x v="18"/>
    <n v="19"/>
    <s v="December"/>
    <n v="2021"/>
    <n v="18"/>
    <x v="2"/>
    <x v="1"/>
    <x v="2"/>
    <x v="2"/>
    <s v="South Australia"/>
    <x v="0"/>
    <s v="Mountain Bikes"/>
    <x v="11"/>
    <n v="2"/>
    <n v="295"/>
    <n v="540"/>
    <n v="490"/>
    <n v="590"/>
    <n v="1080"/>
  </r>
  <r>
    <s v="000261764"/>
    <x v="18"/>
    <n v="19"/>
    <s v="December"/>
    <n v="2021"/>
    <n v="56"/>
    <x v="0"/>
    <x v="0"/>
    <x v="3"/>
    <x v="5"/>
    <s v="Hessen"/>
    <x v="0"/>
    <s v="Mountain Bikes"/>
    <x v="0"/>
    <n v="2"/>
    <n v="1252"/>
    <n v="2295"/>
    <n v="2086"/>
    <n v="2504"/>
    <n v="4590"/>
  </r>
  <r>
    <s v="000261765"/>
    <x v="18"/>
    <n v="19"/>
    <s v="December"/>
    <n v="2021"/>
    <n v="39"/>
    <x v="0"/>
    <x v="0"/>
    <x v="0"/>
    <x v="0"/>
    <s v="Washington"/>
    <x v="0"/>
    <s v="Mountain Bikes"/>
    <x v="5"/>
    <n v="1"/>
    <n v="1266"/>
    <n v="2320"/>
    <n v="1054"/>
    <n v="1266"/>
    <n v="2320"/>
  </r>
  <r>
    <s v="000261766"/>
    <x v="19"/>
    <n v="20"/>
    <s v="December"/>
    <n v="2021"/>
    <n v="33"/>
    <x v="1"/>
    <x v="0"/>
    <x v="2"/>
    <x v="2"/>
    <s v="Victoria"/>
    <x v="0"/>
    <s v="Mountain Bikes"/>
    <x v="10"/>
    <n v="4"/>
    <n v="1898"/>
    <n v="3375"/>
    <n v="5908"/>
    <n v="7592"/>
    <n v="13500"/>
  </r>
  <r>
    <s v="000261767"/>
    <x v="19"/>
    <n v="20"/>
    <s v="December"/>
    <n v="2021"/>
    <n v="57"/>
    <x v="0"/>
    <x v="1"/>
    <x v="2"/>
    <x v="2"/>
    <s v="Queensland"/>
    <x v="0"/>
    <s v="Mountain Bikes"/>
    <x v="0"/>
    <n v="4"/>
    <n v="1252"/>
    <n v="2295"/>
    <n v="4172"/>
    <n v="5008"/>
    <n v="9180"/>
  </r>
  <r>
    <s v="000261768"/>
    <x v="19"/>
    <n v="20"/>
    <s v="December"/>
    <n v="2021"/>
    <n v="29"/>
    <x v="1"/>
    <x v="1"/>
    <x v="4"/>
    <x v="6"/>
    <s v="British Columbia"/>
    <x v="0"/>
    <s v="Mountain Bikes"/>
    <x v="17"/>
    <n v="3"/>
    <n v="295"/>
    <n v="540"/>
    <n v="735"/>
    <n v="885"/>
    <n v="1620"/>
  </r>
  <r>
    <s v="000261769"/>
    <x v="19"/>
    <n v="20"/>
    <s v="December"/>
    <n v="2021"/>
    <n v="35"/>
    <x v="0"/>
    <x v="0"/>
    <x v="2"/>
    <x v="2"/>
    <s v="Queensland"/>
    <x v="0"/>
    <s v="Mountain Bikes"/>
    <x v="5"/>
    <n v="1"/>
    <n v="1266"/>
    <n v="2320"/>
    <n v="1054"/>
    <n v="1266"/>
    <n v="2320"/>
  </r>
  <r>
    <s v="000261770"/>
    <x v="19"/>
    <n v="20"/>
    <s v="December"/>
    <n v="2021"/>
    <n v="35"/>
    <x v="0"/>
    <x v="1"/>
    <x v="2"/>
    <x v="2"/>
    <s v="Victoria"/>
    <x v="0"/>
    <s v="Mountain Bikes"/>
    <x v="5"/>
    <n v="1"/>
    <n v="1266"/>
    <n v="2320"/>
    <n v="1054"/>
    <n v="1266"/>
    <n v="2320"/>
  </r>
  <r>
    <s v="000261771"/>
    <x v="20"/>
    <n v="21"/>
    <s v="December"/>
    <n v="2021"/>
    <n v="26"/>
    <x v="1"/>
    <x v="1"/>
    <x v="5"/>
    <x v="7"/>
    <s v="Somme"/>
    <x v="0"/>
    <s v="Mountain Bikes"/>
    <x v="5"/>
    <n v="3"/>
    <n v="1266"/>
    <n v="2320"/>
    <n v="3162"/>
    <n v="3798"/>
    <n v="6960"/>
  </r>
  <r>
    <s v="000261772"/>
    <x v="20"/>
    <n v="21"/>
    <s v="December"/>
    <n v="2021"/>
    <n v="23"/>
    <x v="2"/>
    <x v="1"/>
    <x v="1"/>
    <x v="1"/>
    <s v="England"/>
    <x v="0"/>
    <s v="Mountain Bikes"/>
    <x v="2"/>
    <n v="2"/>
    <n v="420"/>
    <n v="769"/>
    <n v="698"/>
    <n v="840"/>
    <n v="1538"/>
  </r>
  <r>
    <s v="000261773"/>
    <x v="21"/>
    <n v="22"/>
    <s v="December"/>
    <n v="2021"/>
    <n v="30"/>
    <x v="1"/>
    <x v="0"/>
    <x v="0"/>
    <x v="0"/>
    <s v="Washington"/>
    <x v="0"/>
    <s v="Mountain Bikes"/>
    <x v="5"/>
    <n v="3"/>
    <n v="1266"/>
    <n v="2320"/>
    <n v="3162"/>
    <n v="3798"/>
    <n v="6960"/>
  </r>
  <r>
    <s v="000261774"/>
    <x v="21"/>
    <n v="22"/>
    <s v="December"/>
    <n v="2021"/>
    <n v="41"/>
    <x v="0"/>
    <x v="1"/>
    <x v="0"/>
    <x v="0"/>
    <s v="California"/>
    <x v="0"/>
    <s v="Mountain Bikes"/>
    <x v="6"/>
    <n v="3"/>
    <n v="1252"/>
    <n v="2295"/>
    <n v="3129"/>
    <n v="3756"/>
    <n v="6885"/>
  </r>
  <r>
    <s v="000261775"/>
    <x v="21"/>
    <n v="22"/>
    <s v="December"/>
    <n v="2021"/>
    <n v="19"/>
    <x v="2"/>
    <x v="0"/>
    <x v="2"/>
    <x v="2"/>
    <s v="New South Wales"/>
    <x v="0"/>
    <s v="Mountain Bikes"/>
    <x v="8"/>
    <n v="1"/>
    <n v="308"/>
    <n v="565"/>
    <n v="257"/>
    <n v="308"/>
    <n v="565"/>
  </r>
  <r>
    <s v="000261776"/>
    <x v="21"/>
    <n v="22"/>
    <s v="December"/>
    <n v="2021"/>
    <n v="25"/>
    <x v="1"/>
    <x v="1"/>
    <x v="5"/>
    <x v="7"/>
    <s v="Seine (Paris)"/>
    <x v="0"/>
    <s v="Mountain Bikes"/>
    <x v="4"/>
    <n v="1"/>
    <n v="1252"/>
    <n v="2295"/>
    <n v="1043"/>
    <n v="1252"/>
    <n v="2295"/>
  </r>
  <r>
    <s v="000261777"/>
    <x v="21"/>
    <n v="22"/>
    <s v="December"/>
    <n v="2021"/>
    <n v="27"/>
    <x v="1"/>
    <x v="0"/>
    <x v="4"/>
    <x v="6"/>
    <s v="British Columbia"/>
    <x v="0"/>
    <s v="Mountain Bikes"/>
    <x v="0"/>
    <n v="1"/>
    <n v="1252"/>
    <n v="2295"/>
    <n v="1043"/>
    <n v="1252"/>
    <n v="2295"/>
  </r>
  <r>
    <s v="000261778"/>
    <x v="21"/>
    <n v="22"/>
    <s v="December"/>
    <n v="2021"/>
    <n v="41"/>
    <x v="0"/>
    <x v="1"/>
    <x v="3"/>
    <x v="5"/>
    <s v="Hessen"/>
    <x v="0"/>
    <s v="Mountain Bikes"/>
    <x v="5"/>
    <n v="1"/>
    <n v="1266"/>
    <n v="2320"/>
    <n v="1054"/>
    <n v="1266"/>
    <n v="2320"/>
  </r>
  <r>
    <s v="000261779"/>
    <x v="22"/>
    <n v="23"/>
    <s v="December"/>
    <n v="2021"/>
    <n v="30"/>
    <x v="1"/>
    <x v="0"/>
    <x v="0"/>
    <x v="0"/>
    <s v="Oregon"/>
    <x v="0"/>
    <s v="Mountain Bikes"/>
    <x v="1"/>
    <n v="1"/>
    <n v="1266"/>
    <n v="2320"/>
    <n v="1054"/>
    <n v="1266"/>
    <n v="2320"/>
  </r>
  <r>
    <s v="000261780"/>
    <x v="22"/>
    <n v="23"/>
    <s v="December"/>
    <n v="2021"/>
    <n v="31"/>
    <x v="1"/>
    <x v="0"/>
    <x v="4"/>
    <x v="6"/>
    <s v="British Columbia"/>
    <x v="0"/>
    <s v="Mountain Bikes"/>
    <x v="6"/>
    <n v="1"/>
    <n v="1252"/>
    <n v="2295"/>
    <n v="1043"/>
    <n v="1252"/>
    <n v="2295"/>
  </r>
  <r>
    <s v="000261781"/>
    <x v="22"/>
    <n v="23"/>
    <s v="December"/>
    <n v="2021"/>
    <n v="35"/>
    <x v="0"/>
    <x v="0"/>
    <x v="0"/>
    <x v="0"/>
    <s v="California"/>
    <x v="0"/>
    <s v="Mountain Bikes"/>
    <x v="9"/>
    <n v="1"/>
    <n v="295"/>
    <n v="540"/>
    <n v="245"/>
    <n v="295"/>
    <n v="540"/>
  </r>
  <r>
    <s v="000261782"/>
    <x v="23"/>
    <n v="24"/>
    <s v="December"/>
    <n v="2021"/>
    <n v="38"/>
    <x v="0"/>
    <x v="1"/>
    <x v="2"/>
    <x v="2"/>
    <s v="Queensland"/>
    <x v="0"/>
    <s v="Mountain Bikes"/>
    <x v="6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5264C-8313-4ED7-8470-7577EF03E56D}" name="PivotTable1" cacheId="217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3">
  <location ref="A3:K14" firstHeaderRow="1" firstDataRow="2" firstDataCol="2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7">
        <item x="2"/>
        <item x="4"/>
        <item x="5"/>
        <item x="3"/>
        <item x="1"/>
        <item h="1" x="0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4" baseField="0" baseItem="0"/>
  </dataFields>
  <formats count="5">
    <format dxfId="0">
      <pivotArea outline="0" collapsedLevelsAreSubtotals="1" fieldPosition="0"/>
    </format>
    <format dxfId="1">
      <pivotArea outline="0" collapsedLevelsAreSubtotals="1" fieldPosition="0"/>
    </format>
    <format dxfId="2">
      <pivotArea field="8" type="button" dataOnly="0" labelOnly="1" outline="0"/>
    </format>
    <format dxfId="3">
      <pivotArea type="topRight" dataOnly="0" labelOnly="1" outline="0" fieldPosition="0"/>
    </format>
    <format dxfId="4">
      <pivotArea dataOnly="0" labelOnly="1" grandCol="1" outline="0" fieldPosition="0"/>
    </format>
  </formats>
  <chartFormats count="24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90873-7683-4ED6-BD36-E4BAC2E70FDD}" name="PivotTable1" cacheId="2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 Profit " fld="17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36728-2438-4E05-B0EA-FBD3F02F0B88}" name="PivotTable2" cacheId="2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20">
    <pivotField compact="0" outline="0" showAll="0"/>
    <pivotField axis="axisRow" compact="0" numFmtId="1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 Profit " fld="17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8F349-A14F-47CB-B2A3-B9C24C56B704}" name="PivotTable1" cacheId="2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>
      <items count="10">
        <item x="4"/>
        <item x="1"/>
        <item x="8"/>
        <item x="7"/>
        <item x="3"/>
        <item x="0"/>
        <item x="5"/>
        <item x="2"/>
        <item x="6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 Volume 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workbookViewId="0">
      <selection activeCell="J18" sqref="J18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7.140625" customWidth="1"/>
    <col min="10" max="10" width="15.42578125" bestFit="1" customWidth="1"/>
    <col min="11" max="11" width="19.85546875" bestFit="1" customWidth="1"/>
    <col min="12" max="12" width="16.28515625" bestFit="1" customWidth="1"/>
    <col min="13" max="13" width="14.85546875" bestFit="1" customWidth="1"/>
    <col min="14" max="14" width="25" bestFit="1" customWidth="1"/>
    <col min="15" max="15" width="14.5703125" bestFit="1" customWidth="1"/>
    <col min="16" max="16" width="10.42578125" bestFit="1" customWidth="1"/>
    <col min="17" max="17" width="11" bestFit="1" customWidth="1"/>
    <col min="18" max="19" width="9.85546875" bestFit="1" customWidth="1"/>
    <col min="20" max="20" width="10.85546875" bestFit="1" customWidth="1"/>
  </cols>
  <sheetData>
    <row r="1" spans="1:2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3" t="s">
        <v>20</v>
      </c>
      <c r="B2" s="1">
        <v>44531</v>
      </c>
      <c r="C2">
        <v>1</v>
      </c>
      <c r="D2" t="s">
        <v>21</v>
      </c>
      <c r="E2">
        <v>2021</v>
      </c>
      <c r="F2">
        <v>39</v>
      </c>
      <c r="G2" s="8" t="s">
        <v>22</v>
      </c>
      <c r="H2" t="s">
        <v>23</v>
      </c>
      <c r="I2" t="str">
        <f>TRIM(J2)</f>
        <v>United States</v>
      </c>
      <c r="J2" t="s">
        <v>24</v>
      </c>
      <c r="K2" t="s">
        <v>25</v>
      </c>
      <c r="L2" t="s">
        <v>26</v>
      </c>
      <c r="M2" t="s">
        <v>27</v>
      </c>
      <c r="N2" s="5" t="s">
        <v>28</v>
      </c>
      <c r="O2">
        <v>4</v>
      </c>
      <c r="P2" s="2">
        <v>1252</v>
      </c>
      <c r="Q2" s="2">
        <v>2295</v>
      </c>
      <c r="R2" s="2">
        <v>4172</v>
      </c>
      <c r="S2" s="2">
        <f>O2*P2</f>
        <v>5008</v>
      </c>
      <c r="T2" s="2">
        <f>O2*Q2</f>
        <v>9180</v>
      </c>
    </row>
    <row r="3" spans="1:20">
      <c r="A3" s="3" t="s">
        <v>29</v>
      </c>
      <c r="B3" s="1">
        <v>44531</v>
      </c>
      <c r="C3">
        <v>1</v>
      </c>
      <c r="D3" t="s">
        <v>21</v>
      </c>
      <c r="E3">
        <v>2021</v>
      </c>
      <c r="F3">
        <v>44</v>
      </c>
      <c r="G3" s="8" t="s">
        <v>22</v>
      </c>
      <c r="H3" t="s">
        <v>30</v>
      </c>
      <c r="I3" t="str">
        <f t="shared" ref="I3:I66" si="0">TRIM(J3)</f>
        <v>United Kingdom</v>
      </c>
      <c r="J3" t="s">
        <v>31</v>
      </c>
      <c r="K3" t="s">
        <v>32</v>
      </c>
      <c r="L3" t="s">
        <v>26</v>
      </c>
      <c r="M3" t="s">
        <v>27</v>
      </c>
      <c r="N3" s="5" t="s">
        <v>33</v>
      </c>
      <c r="O3">
        <v>1</v>
      </c>
      <c r="P3" s="2">
        <v>1266</v>
      </c>
      <c r="Q3" s="2">
        <v>2320</v>
      </c>
      <c r="R3" s="2">
        <v>1054</v>
      </c>
      <c r="S3" s="2">
        <f t="shared" ref="S3:S66" si="1">O3*P3</f>
        <v>1266</v>
      </c>
      <c r="T3" s="2">
        <f t="shared" ref="T3:T66" si="2">O3*Q3</f>
        <v>2320</v>
      </c>
    </row>
    <row r="4" spans="1:20">
      <c r="A4" s="3" t="s">
        <v>34</v>
      </c>
      <c r="B4" s="1">
        <v>44532</v>
      </c>
      <c r="C4">
        <v>2</v>
      </c>
      <c r="D4" t="s">
        <v>21</v>
      </c>
      <c r="E4">
        <v>2021</v>
      </c>
      <c r="F4">
        <v>37</v>
      </c>
      <c r="G4" s="8" t="s">
        <v>22</v>
      </c>
      <c r="H4" t="s">
        <v>30</v>
      </c>
      <c r="I4" t="str">
        <f t="shared" si="0"/>
        <v>United States</v>
      </c>
      <c r="J4" t="s">
        <v>24</v>
      </c>
      <c r="K4" t="s">
        <v>25</v>
      </c>
      <c r="L4" t="s">
        <v>26</v>
      </c>
      <c r="M4" t="s">
        <v>27</v>
      </c>
      <c r="N4" s="5" t="s">
        <v>35</v>
      </c>
      <c r="O4">
        <v>2</v>
      </c>
      <c r="P4" s="2">
        <v>420</v>
      </c>
      <c r="Q4" s="2">
        <v>769</v>
      </c>
      <c r="R4" s="2">
        <v>698</v>
      </c>
      <c r="S4" s="2">
        <f t="shared" si="1"/>
        <v>840</v>
      </c>
      <c r="T4" s="2">
        <f t="shared" si="2"/>
        <v>1538</v>
      </c>
    </row>
    <row r="5" spans="1:20">
      <c r="A5" s="3" t="s">
        <v>36</v>
      </c>
      <c r="B5" s="1">
        <v>44532</v>
      </c>
      <c r="C5">
        <v>2</v>
      </c>
      <c r="D5" t="s">
        <v>21</v>
      </c>
      <c r="E5">
        <v>2021</v>
      </c>
      <c r="F5">
        <v>31</v>
      </c>
      <c r="G5" s="8" t="s">
        <v>37</v>
      </c>
      <c r="H5" t="s">
        <v>23</v>
      </c>
      <c r="I5" t="str">
        <f t="shared" si="0"/>
        <v>Australia</v>
      </c>
      <c r="J5" t="s">
        <v>38</v>
      </c>
      <c r="K5" t="s">
        <v>39</v>
      </c>
      <c r="L5" t="s">
        <v>26</v>
      </c>
      <c r="M5" t="s">
        <v>27</v>
      </c>
      <c r="N5" s="5" t="s">
        <v>40</v>
      </c>
      <c r="O5">
        <v>1</v>
      </c>
      <c r="P5" s="2">
        <v>420</v>
      </c>
      <c r="Q5" s="2">
        <v>769</v>
      </c>
      <c r="R5" s="2">
        <v>349</v>
      </c>
      <c r="S5" s="2">
        <f t="shared" si="1"/>
        <v>420</v>
      </c>
      <c r="T5" s="2">
        <f t="shared" si="2"/>
        <v>769</v>
      </c>
    </row>
    <row r="6" spans="1:20">
      <c r="A6" s="3" t="s">
        <v>41</v>
      </c>
      <c r="B6" s="1">
        <v>44533</v>
      </c>
      <c r="C6">
        <v>3</v>
      </c>
      <c r="D6" t="s">
        <v>21</v>
      </c>
      <c r="E6">
        <v>2021</v>
      </c>
      <c r="F6">
        <v>37</v>
      </c>
      <c r="G6" s="8" t="s">
        <v>22</v>
      </c>
      <c r="H6" t="s">
        <v>23</v>
      </c>
      <c r="I6" t="str">
        <f t="shared" si="0"/>
        <v>United States</v>
      </c>
      <c r="J6" t="s">
        <v>42</v>
      </c>
      <c r="K6" t="s">
        <v>25</v>
      </c>
      <c r="L6" t="s">
        <v>26</v>
      </c>
      <c r="M6" t="s">
        <v>27</v>
      </c>
      <c r="N6" s="5" t="s">
        <v>28</v>
      </c>
      <c r="O6">
        <v>2</v>
      </c>
      <c r="P6" s="2">
        <v>1252</v>
      </c>
      <c r="Q6" s="2">
        <v>2295</v>
      </c>
      <c r="R6" s="2">
        <v>2086</v>
      </c>
      <c r="S6" s="2">
        <f t="shared" si="1"/>
        <v>2504</v>
      </c>
      <c r="T6" s="2">
        <f t="shared" si="2"/>
        <v>4590</v>
      </c>
    </row>
    <row r="7" spans="1:20">
      <c r="A7" s="3" t="s">
        <v>43</v>
      </c>
      <c r="B7" s="1">
        <v>44533</v>
      </c>
      <c r="C7">
        <v>3</v>
      </c>
      <c r="D7" t="s">
        <v>21</v>
      </c>
      <c r="E7">
        <v>2021</v>
      </c>
      <c r="F7">
        <v>24</v>
      </c>
      <c r="G7" s="8" t="s">
        <v>44</v>
      </c>
      <c r="H7" t="s">
        <v>23</v>
      </c>
      <c r="I7" t="str">
        <f t="shared" si="0"/>
        <v>United Kingdom</v>
      </c>
      <c r="J7" t="s">
        <v>31</v>
      </c>
      <c r="K7" t="s">
        <v>32</v>
      </c>
      <c r="L7" t="s">
        <v>26</v>
      </c>
      <c r="M7" t="s">
        <v>27</v>
      </c>
      <c r="N7" s="5" t="s">
        <v>45</v>
      </c>
      <c r="O7">
        <v>1</v>
      </c>
      <c r="P7" s="2">
        <v>1252</v>
      </c>
      <c r="Q7" s="2">
        <v>2295</v>
      </c>
      <c r="R7" s="2">
        <v>1043</v>
      </c>
      <c r="S7" s="2">
        <f t="shared" si="1"/>
        <v>1252</v>
      </c>
      <c r="T7" s="2">
        <f t="shared" si="2"/>
        <v>2295</v>
      </c>
    </row>
    <row r="8" spans="1:20">
      <c r="A8" s="3" t="s">
        <v>46</v>
      </c>
      <c r="B8" s="1">
        <v>44533</v>
      </c>
      <c r="C8">
        <v>3</v>
      </c>
      <c r="D8" t="s">
        <v>21</v>
      </c>
      <c r="E8">
        <v>2021</v>
      </c>
      <c r="F8">
        <v>37</v>
      </c>
      <c r="G8" s="8" t="s">
        <v>22</v>
      </c>
      <c r="H8" t="s">
        <v>30</v>
      </c>
      <c r="I8" t="str">
        <f t="shared" si="0"/>
        <v>United States</v>
      </c>
      <c r="J8" t="s">
        <v>47</v>
      </c>
      <c r="K8" t="s">
        <v>48</v>
      </c>
      <c r="L8" t="s">
        <v>26</v>
      </c>
      <c r="M8" t="s">
        <v>27</v>
      </c>
      <c r="N8" s="5" t="s">
        <v>28</v>
      </c>
      <c r="O8">
        <v>1</v>
      </c>
      <c r="P8" s="2">
        <v>1252</v>
      </c>
      <c r="Q8" s="2">
        <v>2295</v>
      </c>
      <c r="R8" s="2">
        <v>1043</v>
      </c>
      <c r="S8" s="2">
        <f t="shared" si="1"/>
        <v>1252</v>
      </c>
      <c r="T8" s="2">
        <f t="shared" si="2"/>
        <v>2295</v>
      </c>
    </row>
    <row r="9" spans="1:20">
      <c r="A9" s="3" t="s">
        <v>49</v>
      </c>
      <c r="B9" s="1">
        <v>44534</v>
      </c>
      <c r="C9">
        <v>4</v>
      </c>
      <c r="D9" t="s">
        <v>21</v>
      </c>
      <c r="E9">
        <v>2021</v>
      </c>
      <c r="F9">
        <v>31</v>
      </c>
      <c r="G9" s="8" t="s">
        <v>37</v>
      </c>
      <c r="H9" t="s">
        <v>23</v>
      </c>
      <c r="I9" t="str">
        <f t="shared" si="0"/>
        <v>Australia</v>
      </c>
      <c r="J9" t="s">
        <v>38</v>
      </c>
      <c r="K9" t="s">
        <v>39</v>
      </c>
      <c r="L9" t="s">
        <v>26</v>
      </c>
      <c r="M9" t="s">
        <v>27</v>
      </c>
      <c r="N9" s="5" t="s">
        <v>40</v>
      </c>
      <c r="O9">
        <v>4</v>
      </c>
      <c r="P9" s="2">
        <v>420</v>
      </c>
      <c r="Q9" s="2">
        <v>769</v>
      </c>
      <c r="R9" s="2">
        <v>1396</v>
      </c>
      <c r="S9" s="2">
        <f t="shared" si="1"/>
        <v>1680</v>
      </c>
      <c r="T9" s="2">
        <f t="shared" si="2"/>
        <v>3076</v>
      </c>
    </row>
    <row r="10" spans="1:20">
      <c r="A10" s="3" t="s">
        <v>50</v>
      </c>
      <c r="B10" s="1">
        <v>44535</v>
      </c>
      <c r="C10">
        <v>5</v>
      </c>
      <c r="D10" t="s">
        <v>21</v>
      </c>
      <c r="E10">
        <v>2021</v>
      </c>
      <c r="F10">
        <v>39</v>
      </c>
      <c r="G10" s="8" t="s">
        <v>22</v>
      </c>
      <c r="H10" t="s">
        <v>23</v>
      </c>
      <c r="I10" t="str">
        <f t="shared" si="0"/>
        <v>United States</v>
      </c>
      <c r="J10" t="s">
        <v>24</v>
      </c>
      <c r="K10" t="s">
        <v>25</v>
      </c>
      <c r="L10" t="s">
        <v>26</v>
      </c>
      <c r="M10" t="s">
        <v>27</v>
      </c>
      <c r="N10" s="5" t="s">
        <v>28</v>
      </c>
      <c r="O10">
        <v>4</v>
      </c>
      <c r="P10" s="2">
        <v>1252</v>
      </c>
      <c r="Q10" s="2">
        <v>2295</v>
      </c>
      <c r="R10" s="2">
        <v>4172</v>
      </c>
      <c r="S10" s="2">
        <f t="shared" si="1"/>
        <v>5008</v>
      </c>
      <c r="T10" s="2">
        <f t="shared" si="2"/>
        <v>9180</v>
      </c>
    </row>
    <row r="11" spans="1:20">
      <c r="A11" s="3" t="s">
        <v>51</v>
      </c>
      <c r="B11" s="1">
        <v>44535</v>
      </c>
      <c r="D11" t="s">
        <v>21</v>
      </c>
      <c r="E11">
        <v>2021</v>
      </c>
      <c r="F11">
        <v>42</v>
      </c>
      <c r="G11" s="8" t="s">
        <v>22</v>
      </c>
      <c r="H11" t="s">
        <v>30</v>
      </c>
      <c r="I11" t="str">
        <f t="shared" si="0"/>
        <v>Germany</v>
      </c>
      <c r="J11" t="s">
        <v>52</v>
      </c>
      <c r="K11" t="s">
        <v>53</v>
      </c>
      <c r="L11" t="s">
        <v>26</v>
      </c>
      <c r="M11" t="s">
        <v>27</v>
      </c>
      <c r="N11" s="5" t="s">
        <v>45</v>
      </c>
      <c r="O11">
        <v>4</v>
      </c>
      <c r="P11" s="2">
        <v>1252</v>
      </c>
      <c r="Q11" s="2">
        <v>2295</v>
      </c>
      <c r="R11" s="2">
        <v>4172</v>
      </c>
      <c r="S11" s="2">
        <f t="shared" si="1"/>
        <v>5008</v>
      </c>
      <c r="T11" s="2">
        <f t="shared" si="2"/>
        <v>9180</v>
      </c>
    </row>
    <row r="12" spans="1:20">
      <c r="A12" s="3" t="s">
        <v>54</v>
      </c>
      <c r="B12" s="1">
        <v>44535</v>
      </c>
      <c r="C12">
        <v>5</v>
      </c>
      <c r="D12" t="s">
        <v>21</v>
      </c>
      <c r="E12">
        <v>2021</v>
      </c>
      <c r="F12">
        <v>35</v>
      </c>
      <c r="G12" s="8" t="s">
        <v>22</v>
      </c>
      <c r="H12" t="s">
        <v>23</v>
      </c>
      <c r="I12" t="str">
        <f t="shared" si="0"/>
        <v>Australia</v>
      </c>
      <c r="J12" t="s">
        <v>38</v>
      </c>
      <c r="K12" t="s">
        <v>55</v>
      </c>
      <c r="L12" t="s">
        <v>26</v>
      </c>
      <c r="M12" t="s">
        <v>27</v>
      </c>
      <c r="N12" s="5" t="s">
        <v>56</v>
      </c>
      <c r="O12">
        <v>1</v>
      </c>
      <c r="P12" s="2">
        <v>1266</v>
      </c>
      <c r="Q12" s="2">
        <v>2320</v>
      </c>
      <c r="R12" s="2">
        <v>1054</v>
      </c>
      <c r="S12" s="2">
        <f t="shared" si="1"/>
        <v>1266</v>
      </c>
      <c r="T12" s="2">
        <f t="shared" si="2"/>
        <v>2320</v>
      </c>
    </row>
    <row r="13" spans="1:20">
      <c r="A13" s="3" t="s">
        <v>57</v>
      </c>
      <c r="B13" s="1">
        <v>44535</v>
      </c>
      <c r="C13">
        <v>5</v>
      </c>
      <c r="D13" t="s">
        <v>21</v>
      </c>
      <c r="E13">
        <v>2021</v>
      </c>
      <c r="F13">
        <v>37</v>
      </c>
      <c r="G13" s="8" t="s">
        <v>22</v>
      </c>
      <c r="H13" t="s">
        <v>23</v>
      </c>
      <c r="I13" t="str">
        <f t="shared" si="0"/>
        <v>United States</v>
      </c>
      <c r="J13" t="s">
        <v>24</v>
      </c>
      <c r="K13" t="s">
        <v>25</v>
      </c>
      <c r="L13" t="s">
        <v>26</v>
      </c>
      <c r="M13" t="s">
        <v>27</v>
      </c>
      <c r="N13" s="5" t="s">
        <v>28</v>
      </c>
      <c r="O13">
        <v>1</v>
      </c>
      <c r="P13" s="2">
        <v>1252</v>
      </c>
      <c r="Q13" s="2">
        <v>2295</v>
      </c>
      <c r="R13" s="2">
        <v>1043</v>
      </c>
      <c r="S13" s="2">
        <f t="shared" si="1"/>
        <v>1252</v>
      </c>
      <c r="T13" s="2">
        <f t="shared" si="2"/>
        <v>2295</v>
      </c>
    </row>
    <row r="14" spans="1:20">
      <c r="A14" s="3" t="s">
        <v>58</v>
      </c>
      <c r="B14" s="1">
        <v>44536</v>
      </c>
      <c r="C14">
        <v>6</v>
      </c>
      <c r="D14" t="s">
        <v>21</v>
      </c>
      <c r="E14">
        <v>2021</v>
      </c>
      <c r="F14">
        <v>23</v>
      </c>
      <c r="G14" s="8" t="s">
        <v>44</v>
      </c>
      <c r="H14" t="s">
        <v>30</v>
      </c>
      <c r="I14" t="str">
        <f t="shared" si="0"/>
        <v>United Kingdom</v>
      </c>
      <c r="J14" t="s">
        <v>31</v>
      </c>
      <c r="K14" t="s">
        <v>32</v>
      </c>
      <c r="L14" t="s">
        <v>26</v>
      </c>
      <c r="M14" t="s">
        <v>27</v>
      </c>
      <c r="N14" s="5" t="s">
        <v>35</v>
      </c>
      <c r="O14">
        <v>3</v>
      </c>
      <c r="P14" s="2">
        <v>420</v>
      </c>
      <c r="Q14" s="2">
        <v>769</v>
      </c>
      <c r="R14" s="2">
        <v>1047</v>
      </c>
      <c r="S14" s="2">
        <f t="shared" si="1"/>
        <v>1260</v>
      </c>
      <c r="T14" s="2">
        <f t="shared" si="2"/>
        <v>2307</v>
      </c>
    </row>
    <row r="15" spans="1:20">
      <c r="A15" s="3" t="s">
        <v>59</v>
      </c>
      <c r="B15" s="1">
        <v>44536</v>
      </c>
      <c r="C15">
        <v>6</v>
      </c>
      <c r="D15" t="s">
        <v>21</v>
      </c>
      <c r="E15">
        <v>2021</v>
      </c>
      <c r="F15">
        <v>27</v>
      </c>
      <c r="G15" s="8" t="s">
        <v>37</v>
      </c>
      <c r="H15" t="s">
        <v>30</v>
      </c>
      <c r="I15" t="str">
        <f t="shared" si="0"/>
        <v>Canada</v>
      </c>
      <c r="J15" t="s">
        <v>60</v>
      </c>
      <c r="K15" t="s">
        <v>61</v>
      </c>
      <c r="L15" t="s">
        <v>26</v>
      </c>
      <c r="M15" t="s">
        <v>27</v>
      </c>
      <c r="N15" s="5" t="s">
        <v>28</v>
      </c>
      <c r="O15">
        <v>1</v>
      </c>
      <c r="P15" s="2">
        <v>1252</v>
      </c>
      <c r="Q15" s="2">
        <v>2295</v>
      </c>
      <c r="R15" s="2">
        <v>1043</v>
      </c>
      <c r="S15" s="2">
        <f t="shared" si="1"/>
        <v>1252</v>
      </c>
      <c r="T15" s="2">
        <f t="shared" si="2"/>
        <v>2295</v>
      </c>
    </row>
    <row r="16" spans="1:20">
      <c r="A16" s="3" t="s">
        <v>62</v>
      </c>
      <c r="B16" s="1">
        <v>44536</v>
      </c>
      <c r="C16">
        <v>6</v>
      </c>
      <c r="D16" t="s">
        <v>21</v>
      </c>
      <c r="E16">
        <v>2021</v>
      </c>
      <c r="F16">
        <v>36</v>
      </c>
      <c r="G16" s="8" t="s">
        <v>22</v>
      </c>
      <c r="H16" t="s">
        <v>30</v>
      </c>
      <c r="I16" t="str">
        <f t="shared" si="0"/>
        <v>Australia</v>
      </c>
      <c r="J16" t="s">
        <v>38</v>
      </c>
      <c r="K16" t="s">
        <v>39</v>
      </c>
      <c r="L16" t="s">
        <v>26</v>
      </c>
      <c r="M16" t="s">
        <v>27</v>
      </c>
      <c r="N16" s="5" t="s">
        <v>63</v>
      </c>
      <c r="O16">
        <v>1</v>
      </c>
      <c r="P16" s="2">
        <v>1252</v>
      </c>
      <c r="Q16" s="2">
        <v>2295</v>
      </c>
      <c r="R16" s="2">
        <v>1043</v>
      </c>
      <c r="S16" s="2">
        <f t="shared" si="1"/>
        <v>1252</v>
      </c>
      <c r="T16" s="2">
        <f t="shared" si="2"/>
        <v>2295</v>
      </c>
    </row>
    <row r="17" spans="1:20">
      <c r="A17" s="3" t="s">
        <v>64</v>
      </c>
      <c r="B17" s="1">
        <v>44536</v>
      </c>
      <c r="C17">
        <v>6</v>
      </c>
      <c r="D17" t="s">
        <v>21</v>
      </c>
      <c r="E17">
        <v>2021</v>
      </c>
      <c r="F17">
        <v>47</v>
      </c>
      <c r="G17" s="8" t="s">
        <v>22</v>
      </c>
      <c r="H17" t="s">
        <v>30</v>
      </c>
      <c r="I17" t="str">
        <f t="shared" si="0"/>
        <v>United Kingdom</v>
      </c>
      <c r="J17" t="s">
        <v>31</v>
      </c>
      <c r="K17" t="s">
        <v>32</v>
      </c>
      <c r="L17" t="s">
        <v>26</v>
      </c>
      <c r="M17" t="s">
        <v>27</v>
      </c>
      <c r="N17" s="5" t="s">
        <v>56</v>
      </c>
      <c r="O17">
        <v>1</v>
      </c>
      <c r="P17" s="2">
        <v>1266</v>
      </c>
      <c r="Q17" s="2">
        <v>2320</v>
      </c>
      <c r="R17" s="2">
        <v>1054</v>
      </c>
      <c r="S17" s="2">
        <f t="shared" si="1"/>
        <v>1266</v>
      </c>
      <c r="T17" s="2">
        <f t="shared" si="2"/>
        <v>2320</v>
      </c>
    </row>
    <row r="18" spans="1:20">
      <c r="A18" s="3" t="s">
        <v>65</v>
      </c>
      <c r="B18" s="1">
        <v>44537</v>
      </c>
      <c r="C18">
        <v>7</v>
      </c>
      <c r="D18" t="s">
        <v>21</v>
      </c>
      <c r="E18">
        <v>2021</v>
      </c>
      <c r="F18">
        <v>30</v>
      </c>
      <c r="G18" s="8" t="s">
        <v>37</v>
      </c>
      <c r="H18" t="s">
        <v>30</v>
      </c>
      <c r="I18" t="str">
        <f t="shared" si="0"/>
        <v>United States</v>
      </c>
      <c r="J18" t="s">
        <v>24</v>
      </c>
      <c r="K18" t="s">
        <v>25</v>
      </c>
      <c r="L18" t="s">
        <v>26</v>
      </c>
      <c r="M18" t="s">
        <v>27</v>
      </c>
      <c r="N18" s="5" t="s">
        <v>66</v>
      </c>
      <c r="O18">
        <v>4</v>
      </c>
      <c r="P18" s="2">
        <v>420</v>
      </c>
      <c r="Q18" s="2">
        <v>769</v>
      </c>
      <c r="R18" s="2">
        <v>1396</v>
      </c>
      <c r="S18" s="2">
        <f t="shared" si="1"/>
        <v>1680</v>
      </c>
      <c r="T18" s="2">
        <f t="shared" si="2"/>
        <v>3076</v>
      </c>
    </row>
    <row r="19" spans="1:20">
      <c r="A19" s="3" t="s">
        <v>67</v>
      </c>
      <c r="B19" s="1">
        <v>44537</v>
      </c>
      <c r="C19">
        <v>7</v>
      </c>
      <c r="D19" t="s">
        <v>21</v>
      </c>
      <c r="E19">
        <v>2021</v>
      </c>
      <c r="F19">
        <v>38</v>
      </c>
      <c r="G19" s="8" t="s">
        <v>22</v>
      </c>
      <c r="H19" t="s">
        <v>30</v>
      </c>
      <c r="I19" t="str">
        <f t="shared" si="0"/>
        <v>United States</v>
      </c>
      <c r="J19" t="s">
        <v>24</v>
      </c>
      <c r="K19" t="s">
        <v>25</v>
      </c>
      <c r="L19" t="s">
        <v>26</v>
      </c>
      <c r="M19" t="s">
        <v>27</v>
      </c>
      <c r="N19" s="5" t="s">
        <v>33</v>
      </c>
      <c r="O19">
        <v>2</v>
      </c>
      <c r="P19" s="2">
        <v>1266</v>
      </c>
      <c r="Q19" s="2">
        <v>2320</v>
      </c>
      <c r="R19" s="2">
        <v>2108</v>
      </c>
      <c r="S19" s="2">
        <f t="shared" si="1"/>
        <v>2532</v>
      </c>
      <c r="T19" s="2">
        <f t="shared" si="2"/>
        <v>4640</v>
      </c>
    </row>
    <row r="20" spans="1:20">
      <c r="A20" s="3" t="s">
        <v>68</v>
      </c>
      <c r="B20" s="1">
        <v>44538</v>
      </c>
      <c r="C20">
        <v>8</v>
      </c>
      <c r="D20" t="s">
        <v>21</v>
      </c>
      <c r="E20">
        <v>2021</v>
      </c>
      <c r="F20">
        <v>19</v>
      </c>
      <c r="G20" s="8" t="s">
        <v>44</v>
      </c>
      <c r="H20" t="s">
        <v>23</v>
      </c>
      <c r="I20" t="str">
        <f t="shared" si="0"/>
        <v>Australia</v>
      </c>
      <c r="J20" t="s">
        <v>38</v>
      </c>
      <c r="K20" t="s">
        <v>39</v>
      </c>
      <c r="L20" t="s">
        <v>26</v>
      </c>
      <c r="M20" t="s">
        <v>27</v>
      </c>
      <c r="N20" s="5" t="s">
        <v>69</v>
      </c>
      <c r="O20">
        <v>4</v>
      </c>
      <c r="P20" s="2">
        <v>308</v>
      </c>
      <c r="Q20" s="2">
        <v>565</v>
      </c>
      <c r="R20" s="2">
        <v>1028</v>
      </c>
      <c r="S20" s="2">
        <f t="shared" si="1"/>
        <v>1232</v>
      </c>
      <c r="T20" s="2">
        <f t="shared" si="2"/>
        <v>2260</v>
      </c>
    </row>
    <row r="21" spans="1:20">
      <c r="A21" s="3" t="s">
        <v>70</v>
      </c>
      <c r="B21" s="1">
        <v>44538</v>
      </c>
      <c r="C21">
        <v>8</v>
      </c>
      <c r="D21" t="s">
        <v>21</v>
      </c>
      <c r="E21">
        <v>2021</v>
      </c>
      <c r="F21">
        <v>30</v>
      </c>
      <c r="G21" s="8" t="s">
        <v>37</v>
      </c>
      <c r="H21" t="s">
        <v>23</v>
      </c>
      <c r="I21" t="str">
        <f t="shared" si="0"/>
        <v>Canada</v>
      </c>
      <c r="J21" t="s">
        <v>60</v>
      </c>
      <c r="K21" t="s">
        <v>61</v>
      </c>
      <c r="L21" t="s">
        <v>26</v>
      </c>
      <c r="M21" t="s">
        <v>27</v>
      </c>
      <c r="N21" s="5" t="s">
        <v>56</v>
      </c>
      <c r="O21">
        <v>4</v>
      </c>
      <c r="P21" s="2">
        <v>1266</v>
      </c>
      <c r="Q21" s="2">
        <v>2320</v>
      </c>
      <c r="R21" s="2">
        <v>4216</v>
      </c>
      <c r="S21" s="2">
        <f t="shared" si="1"/>
        <v>5064</v>
      </c>
      <c r="T21" s="2">
        <f t="shared" si="2"/>
        <v>9280</v>
      </c>
    </row>
    <row r="22" spans="1:20">
      <c r="A22" s="3" t="s">
        <v>71</v>
      </c>
      <c r="B22" s="1">
        <v>44538</v>
      </c>
      <c r="C22">
        <v>8</v>
      </c>
      <c r="D22" t="s">
        <v>21</v>
      </c>
      <c r="E22">
        <v>2021</v>
      </c>
      <c r="F22">
        <v>39</v>
      </c>
      <c r="G22" s="8" t="s">
        <v>22</v>
      </c>
      <c r="H22" t="s">
        <v>23</v>
      </c>
      <c r="I22" t="str">
        <f t="shared" si="0"/>
        <v>United States</v>
      </c>
      <c r="J22" t="s">
        <v>24</v>
      </c>
      <c r="K22" t="s">
        <v>72</v>
      </c>
      <c r="L22" t="s">
        <v>26</v>
      </c>
      <c r="M22" t="s">
        <v>27</v>
      </c>
      <c r="N22" s="5" t="s">
        <v>73</v>
      </c>
      <c r="O22">
        <v>2</v>
      </c>
      <c r="P22" s="2">
        <v>1252</v>
      </c>
      <c r="Q22" s="2">
        <v>2295</v>
      </c>
      <c r="R22" s="2">
        <v>2086</v>
      </c>
      <c r="S22" s="2">
        <f t="shared" si="1"/>
        <v>2504</v>
      </c>
      <c r="T22" s="2">
        <f t="shared" si="2"/>
        <v>4590</v>
      </c>
    </row>
    <row r="23" spans="1:20">
      <c r="A23" s="3" t="s">
        <v>74</v>
      </c>
      <c r="B23" s="1">
        <v>44538</v>
      </c>
      <c r="C23">
        <v>8</v>
      </c>
      <c r="D23" t="s">
        <v>21</v>
      </c>
      <c r="E23">
        <v>2021</v>
      </c>
      <c r="F23">
        <v>35</v>
      </c>
      <c r="G23" s="8" t="s">
        <v>22</v>
      </c>
      <c r="H23" t="s">
        <v>23</v>
      </c>
      <c r="I23" t="str">
        <f t="shared" si="0"/>
        <v>United States</v>
      </c>
      <c r="J23" t="s">
        <v>24</v>
      </c>
      <c r="K23" t="s">
        <v>25</v>
      </c>
      <c r="L23" t="s">
        <v>26</v>
      </c>
      <c r="M23" t="s">
        <v>27</v>
      </c>
      <c r="N23" s="5" t="s">
        <v>73</v>
      </c>
      <c r="O23">
        <v>1</v>
      </c>
      <c r="P23" s="2">
        <v>295</v>
      </c>
      <c r="Q23" s="2">
        <v>540</v>
      </c>
      <c r="R23" s="2">
        <v>245</v>
      </c>
      <c r="S23" s="2">
        <f t="shared" si="1"/>
        <v>295</v>
      </c>
      <c r="T23" s="2">
        <f t="shared" si="2"/>
        <v>540</v>
      </c>
    </row>
    <row r="24" spans="1:20">
      <c r="A24" s="3" t="s">
        <v>75</v>
      </c>
      <c r="B24" s="1">
        <v>44539</v>
      </c>
      <c r="C24">
        <v>9</v>
      </c>
      <c r="D24" t="s">
        <v>21</v>
      </c>
      <c r="E24">
        <v>2021</v>
      </c>
      <c r="F24">
        <v>33</v>
      </c>
      <c r="G24" s="8" t="s">
        <v>37</v>
      </c>
      <c r="H24" t="s">
        <v>23</v>
      </c>
      <c r="I24" t="str">
        <f t="shared" si="0"/>
        <v>Australia</v>
      </c>
      <c r="J24" t="s">
        <v>38</v>
      </c>
      <c r="K24" t="s">
        <v>76</v>
      </c>
      <c r="L24" t="s">
        <v>26</v>
      </c>
      <c r="M24" t="s">
        <v>27</v>
      </c>
      <c r="N24" s="5" t="s">
        <v>77</v>
      </c>
      <c r="O24">
        <v>2</v>
      </c>
      <c r="P24" s="2">
        <v>1898</v>
      </c>
      <c r="Q24" s="2">
        <v>3375</v>
      </c>
      <c r="R24" s="2">
        <v>2954</v>
      </c>
      <c r="S24" s="2">
        <f t="shared" si="1"/>
        <v>3796</v>
      </c>
      <c r="T24" s="2">
        <f t="shared" si="2"/>
        <v>6750</v>
      </c>
    </row>
    <row r="25" spans="1:20">
      <c r="A25" s="3" t="s">
        <v>78</v>
      </c>
      <c r="B25" s="1">
        <v>44539</v>
      </c>
      <c r="C25">
        <v>9</v>
      </c>
      <c r="D25" t="s">
        <v>21</v>
      </c>
      <c r="E25">
        <v>2021</v>
      </c>
      <c r="F25">
        <v>41</v>
      </c>
      <c r="G25" s="8" t="s">
        <v>22</v>
      </c>
      <c r="H25" t="s">
        <v>23</v>
      </c>
      <c r="I25" t="str">
        <f t="shared" si="0"/>
        <v>Germany</v>
      </c>
      <c r="J25" t="s">
        <v>52</v>
      </c>
      <c r="K25" t="s">
        <v>79</v>
      </c>
      <c r="L25" t="s">
        <v>26</v>
      </c>
      <c r="M25" t="s">
        <v>27</v>
      </c>
      <c r="N25" s="5" t="s">
        <v>33</v>
      </c>
      <c r="O25">
        <v>1</v>
      </c>
      <c r="P25" s="2">
        <v>1266</v>
      </c>
      <c r="Q25" s="2">
        <v>2320</v>
      </c>
      <c r="R25" s="2">
        <v>1054</v>
      </c>
      <c r="S25" s="2">
        <f t="shared" si="1"/>
        <v>1266</v>
      </c>
      <c r="T25" s="2">
        <f t="shared" si="2"/>
        <v>2320</v>
      </c>
    </row>
    <row r="26" spans="1:20">
      <c r="A26" s="3" t="s">
        <v>80</v>
      </c>
      <c r="B26" s="1">
        <v>44540</v>
      </c>
      <c r="C26">
        <v>10</v>
      </c>
      <c r="D26" t="s">
        <v>21</v>
      </c>
      <c r="E26">
        <v>2021</v>
      </c>
      <c r="F26">
        <v>34</v>
      </c>
      <c r="G26" s="8" t="s">
        <v>37</v>
      </c>
      <c r="H26" t="s">
        <v>23</v>
      </c>
      <c r="I26" t="str">
        <f t="shared" si="0"/>
        <v>United States</v>
      </c>
      <c r="J26" t="s">
        <v>24</v>
      </c>
      <c r="K26" t="s">
        <v>25</v>
      </c>
      <c r="L26" t="s">
        <v>26</v>
      </c>
      <c r="M26" t="s">
        <v>27</v>
      </c>
      <c r="N26" s="5" t="s">
        <v>63</v>
      </c>
      <c r="O26">
        <v>2</v>
      </c>
      <c r="P26" s="2">
        <v>1252</v>
      </c>
      <c r="Q26" s="2">
        <v>2295</v>
      </c>
      <c r="R26" s="2">
        <v>2086</v>
      </c>
      <c r="S26" s="2">
        <f t="shared" si="1"/>
        <v>2504</v>
      </c>
      <c r="T26" s="2">
        <f t="shared" si="2"/>
        <v>4590</v>
      </c>
    </row>
    <row r="27" spans="1:20">
      <c r="A27" s="3" t="s">
        <v>81</v>
      </c>
      <c r="B27" s="1">
        <v>44540</v>
      </c>
      <c r="C27">
        <v>10</v>
      </c>
      <c r="D27" t="s">
        <v>21</v>
      </c>
      <c r="E27">
        <v>2021</v>
      </c>
      <c r="F27">
        <v>40</v>
      </c>
      <c r="G27" s="8" t="s">
        <v>22</v>
      </c>
      <c r="H27" t="s">
        <v>30</v>
      </c>
      <c r="I27" t="str">
        <f t="shared" si="0"/>
        <v>Australia</v>
      </c>
      <c r="J27" t="s">
        <v>38</v>
      </c>
      <c r="K27" t="s">
        <v>39</v>
      </c>
      <c r="L27" t="s">
        <v>26</v>
      </c>
      <c r="M27" t="s">
        <v>27</v>
      </c>
      <c r="N27" s="5" t="s">
        <v>63</v>
      </c>
      <c r="O27">
        <v>2</v>
      </c>
      <c r="P27" s="2">
        <v>1252</v>
      </c>
      <c r="Q27" s="2">
        <v>2295</v>
      </c>
      <c r="R27" s="2">
        <v>2086</v>
      </c>
      <c r="S27" s="2">
        <f t="shared" si="1"/>
        <v>2504</v>
      </c>
      <c r="T27" s="2">
        <f t="shared" si="2"/>
        <v>4590</v>
      </c>
    </row>
    <row r="28" spans="1:20">
      <c r="A28" s="3" t="s">
        <v>82</v>
      </c>
      <c r="B28" s="1">
        <v>44540</v>
      </c>
      <c r="C28">
        <v>10</v>
      </c>
      <c r="D28" t="s">
        <v>21</v>
      </c>
      <c r="E28">
        <v>2021</v>
      </c>
      <c r="F28">
        <v>26</v>
      </c>
      <c r="G28" s="8" t="s">
        <v>37</v>
      </c>
      <c r="H28" t="s">
        <v>30</v>
      </c>
      <c r="I28" t="str">
        <f t="shared" si="0"/>
        <v>United Kingdom</v>
      </c>
      <c r="J28" t="s">
        <v>31</v>
      </c>
      <c r="K28" t="s">
        <v>32</v>
      </c>
      <c r="L28" t="s">
        <v>26</v>
      </c>
      <c r="M28" t="s">
        <v>27</v>
      </c>
      <c r="N28" s="5" t="s">
        <v>45</v>
      </c>
      <c r="O28">
        <v>1</v>
      </c>
      <c r="P28" s="2">
        <v>1252</v>
      </c>
      <c r="Q28" s="2">
        <v>2295</v>
      </c>
      <c r="R28" s="2">
        <v>1043</v>
      </c>
      <c r="S28" s="2">
        <f t="shared" si="1"/>
        <v>1252</v>
      </c>
      <c r="T28" s="2">
        <f t="shared" si="2"/>
        <v>2295</v>
      </c>
    </row>
    <row r="29" spans="1:20">
      <c r="A29" s="3" t="s">
        <v>83</v>
      </c>
      <c r="B29" s="1">
        <v>44540</v>
      </c>
      <c r="C29">
        <v>10</v>
      </c>
      <c r="D29" t="s">
        <v>21</v>
      </c>
      <c r="E29">
        <v>2021</v>
      </c>
      <c r="F29">
        <v>34</v>
      </c>
      <c r="G29" s="8" t="s">
        <v>37</v>
      </c>
      <c r="H29" t="s">
        <v>30</v>
      </c>
      <c r="I29" t="str">
        <f t="shared" si="0"/>
        <v>United States</v>
      </c>
      <c r="J29" t="s">
        <v>24</v>
      </c>
      <c r="K29" t="s">
        <v>25</v>
      </c>
      <c r="L29" t="s">
        <v>26</v>
      </c>
      <c r="M29" t="s">
        <v>27</v>
      </c>
      <c r="N29" s="5" t="s">
        <v>84</v>
      </c>
      <c r="O29">
        <v>1</v>
      </c>
      <c r="P29" s="2">
        <v>295</v>
      </c>
      <c r="Q29" s="2">
        <v>540</v>
      </c>
      <c r="R29" s="2">
        <v>245</v>
      </c>
      <c r="S29" s="2">
        <f t="shared" si="1"/>
        <v>295</v>
      </c>
      <c r="T29" s="2">
        <f t="shared" si="2"/>
        <v>540</v>
      </c>
    </row>
    <row r="30" spans="1:20">
      <c r="A30" s="3" t="s">
        <v>85</v>
      </c>
      <c r="B30" s="1">
        <v>44540</v>
      </c>
      <c r="C30">
        <v>10</v>
      </c>
      <c r="D30" t="s">
        <v>21</v>
      </c>
      <c r="E30">
        <v>2021</v>
      </c>
      <c r="F30">
        <v>34</v>
      </c>
      <c r="G30" s="8" t="s">
        <v>37</v>
      </c>
      <c r="H30" t="s">
        <v>23</v>
      </c>
      <c r="I30" t="str">
        <f t="shared" si="0"/>
        <v>United States</v>
      </c>
      <c r="J30" t="s">
        <v>24</v>
      </c>
      <c r="K30" t="s">
        <v>48</v>
      </c>
      <c r="L30" t="s">
        <v>26</v>
      </c>
      <c r="M30" t="s">
        <v>27</v>
      </c>
      <c r="N30" s="5" t="s">
        <v>86</v>
      </c>
      <c r="O30">
        <v>1</v>
      </c>
      <c r="P30" s="2">
        <v>1912</v>
      </c>
      <c r="Q30" s="2">
        <v>3400</v>
      </c>
      <c r="R30" s="2">
        <v>1488</v>
      </c>
      <c r="S30" s="2">
        <f t="shared" si="1"/>
        <v>1912</v>
      </c>
      <c r="T30" s="2">
        <f t="shared" si="2"/>
        <v>3400</v>
      </c>
    </row>
    <row r="31" spans="1:20">
      <c r="A31" s="3" t="s">
        <v>87</v>
      </c>
      <c r="B31" s="1">
        <v>44540</v>
      </c>
      <c r="C31">
        <v>10</v>
      </c>
      <c r="D31" t="s">
        <v>21</v>
      </c>
      <c r="E31">
        <v>2021</v>
      </c>
      <c r="F31">
        <v>38</v>
      </c>
      <c r="G31" s="8" t="s">
        <v>22</v>
      </c>
      <c r="H31" t="s">
        <v>30</v>
      </c>
      <c r="I31" t="str">
        <f t="shared" si="0"/>
        <v>Australia</v>
      </c>
      <c r="J31" t="s">
        <v>38</v>
      </c>
      <c r="K31" t="s">
        <v>39</v>
      </c>
      <c r="L31" t="s">
        <v>26</v>
      </c>
      <c r="M31" t="s">
        <v>27</v>
      </c>
      <c r="N31" s="5" t="s">
        <v>45</v>
      </c>
      <c r="O31">
        <v>1</v>
      </c>
      <c r="P31" s="2">
        <v>1252</v>
      </c>
      <c r="Q31" s="2">
        <v>2295</v>
      </c>
      <c r="R31" s="2">
        <v>1043</v>
      </c>
      <c r="S31" s="2">
        <f t="shared" si="1"/>
        <v>1252</v>
      </c>
      <c r="T31" s="2">
        <f t="shared" si="2"/>
        <v>2295</v>
      </c>
    </row>
    <row r="32" spans="1:20">
      <c r="A32" s="3" t="s">
        <v>88</v>
      </c>
      <c r="B32" s="1">
        <v>44541</v>
      </c>
      <c r="C32">
        <v>11</v>
      </c>
      <c r="D32" t="s">
        <v>21</v>
      </c>
      <c r="E32">
        <v>2021</v>
      </c>
      <c r="F32">
        <v>24</v>
      </c>
      <c r="G32" s="8" t="s">
        <v>44</v>
      </c>
      <c r="H32" t="s">
        <v>23</v>
      </c>
      <c r="I32" t="str">
        <f t="shared" si="0"/>
        <v>France</v>
      </c>
      <c r="J32" t="s">
        <v>89</v>
      </c>
      <c r="K32" t="s">
        <v>90</v>
      </c>
      <c r="L32" t="s">
        <v>26</v>
      </c>
      <c r="M32" t="s">
        <v>27</v>
      </c>
      <c r="N32" s="5" t="s">
        <v>45</v>
      </c>
      <c r="O32">
        <v>3</v>
      </c>
      <c r="P32" s="2">
        <v>1252</v>
      </c>
      <c r="Q32" s="2">
        <v>2295</v>
      </c>
      <c r="R32" s="2">
        <v>3129</v>
      </c>
      <c r="S32" s="2">
        <f t="shared" si="1"/>
        <v>3756</v>
      </c>
      <c r="T32" s="2">
        <f t="shared" si="2"/>
        <v>6885</v>
      </c>
    </row>
    <row r="33" spans="1:20">
      <c r="A33" s="3" t="s">
        <v>91</v>
      </c>
      <c r="B33" s="1">
        <v>44541</v>
      </c>
      <c r="C33">
        <v>11</v>
      </c>
      <c r="D33" t="s">
        <v>21</v>
      </c>
      <c r="E33">
        <v>2021</v>
      </c>
      <c r="F33">
        <v>41</v>
      </c>
      <c r="G33" s="8" t="s">
        <v>22</v>
      </c>
      <c r="H33" t="s">
        <v>23</v>
      </c>
      <c r="I33" t="str">
        <f t="shared" si="0"/>
        <v>Australia</v>
      </c>
      <c r="J33" t="s">
        <v>38</v>
      </c>
      <c r="K33" t="s">
        <v>39</v>
      </c>
      <c r="L33" t="s">
        <v>26</v>
      </c>
      <c r="M33" t="s">
        <v>27</v>
      </c>
      <c r="N33" s="5" t="s">
        <v>66</v>
      </c>
      <c r="O33">
        <v>2</v>
      </c>
      <c r="P33" s="2">
        <v>420</v>
      </c>
      <c r="Q33" s="2">
        <v>769</v>
      </c>
      <c r="R33" s="2">
        <v>698</v>
      </c>
      <c r="S33" s="2">
        <f t="shared" si="1"/>
        <v>840</v>
      </c>
      <c r="T33" s="2">
        <f t="shared" si="2"/>
        <v>1538</v>
      </c>
    </row>
    <row r="34" spans="1:20">
      <c r="A34" s="3" t="s">
        <v>92</v>
      </c>
      <c r="B34" s="1">
        <v>44541</v>
      </c>
      <c r="C34">
        <v>11</v>
      </c>
      <c r="D34" t="s">
        <v>21</v>
      </c>
      <c r="E34">
        <v>2021</v>
      </c>
      <c r="F34">
        <v>27</v>
      </c>
      <c r="G34" s="8" t="s">
        <v>37</v>
      </c>
      <c r="H34" t="s">
        <v>30</v>
      </c>
      <c r="I34" t="str">
        <f t="shared" si="0"/>
        <v>Canada</v>
      </c>
      <c r="J34" t="s">
        <v>60</v>
      </c>
      <c r="K34" t="s">
        <v>61</v>
      </c>
      <c r="L34" t="s">
        <v>26</v>
      </c>
      <c r="M34" t="s">
        <v>27</v>
      </c>
      <c r="N34" s="5" t="s">
        <v>28</v>
      </c>
      <c r="O34">
        <v>1</v>
      </c>
      <c r="P34" s="2">
        <v>1252</v>
      </c>
      <c r="Q34" s="2">
        <v>2295</v>
      </c>
      <c r="R34" s="2">
        <v>1043</v>
      </c>
      <c r="S34" s="2">
        <f t="shared" si="1"/>
        <v>1252</v>
      </c>
      <c r="T34" s="2">
        <f t="shared" si="2"/>
        <v>2295</v>
      </c>
    </row>
    <row r="35" spans="1:20">
      <c r="A35" s="3" t="s">
        <v>93</v>
      </c>
      <c r="B35" s="1">
        <v>44541</v>
      </c>
      <c r="C35">
        <v>11</v>
      </c>
      <c r="D35" t="s">
        <v>21</v>
      </c>
      <c r="E35">
        <v>2021</v>
      </c>
      <c r="F35">
        <v>37</v>
      </c>
      <c r="G35" s="8" t="s">
        <v>22</v>
      </c>
      <c r="H35" t="s">
        <v>30</v>
      </c>
      <c r="I35" t="str">
        <f t="shared" si="0"/>
        <v>United States</v>
      </c>
      <c r="J35" t="s">
        <v>24</v>
      </c>
      <c r="K35" t="s">
        <v>25</v>
      </c>
      <c r="L35" t="s">
        <v>26</v>
      </c>
      <c r="M35" t="s">
        <v>27</v>
      </c>
      <c r="N35" s="5" t="s">
        <v>35</v>
      </c>
      <c r="O35">
        <v>1</v>
      </c>
      <c r="P35" s="2">
        <v>420</v>
      </c>
      <c r="Q35" s="2">
        <v>769</v>
      </c>
      <c r="R35" s="2">
        <v>349</v>
      </c>
      <c r="S35" s="2">
        <f t="shared" si="1"/>
        <v>420</v>
      </c>
      <c r="T35" s="2">
        <f t="shared" si="2"/>
        <v>769</v>
      </c>
    </row>
    <row r="36" spans="1:20">
      <c r="A36" s="3" t="s">
        <v>94</v>
      </c>
      <c r="B36" s="1">
        <v>44541</v>
      </c>
      <c r="C36">
        <v>11</v>
      </c>
      <c r="D36" t="s">
        <v>21</v>
      </c>
      <c r="E36">
        <v>2021</v>
      </c>
      <c r="F36">
        <v>38</v>
      </c>
      <c r="G36" s="8" t="s">
        <v>22</v>
      </c>
      <c r="H36" t="s">
        <v>23</v>
      </c>
      <c r="I36" t="str">
        <f t="shared" si="0"/>
        <v>United States</v>
      </c>
      <c r="J36" t="s">
        <v>24</v>
      </c>
      <c r="K36" t="s">
        <v>25</v>
      </c>
      <c r="L36" t="s">
        <v>26</v>
      </c>
      <c r="M36" t="s">
        <v>27</v>
      </c>
      <c r="N36" s="5" t="s">
        <v>56</v>
      </c>
      <c r="O36">
        <v>1</v>
      </c>
      <c r="P36" s="2">
        <v>1266</v>
      </c>
      <c r="Q36" s="2">
        <v>2320</v>
      </c>
      <c r="R36" s="2">
        <v>1054</v>
      </c>
      <c r="S36" s="2">
        <f t="shared" si="1"/>
        <v>1266</v>
      </c>
      <c r="T36" s="2">
        <f t="shared" si="2"/>
        <v>2320</v>
      </c>
    </row>
    <row r="37" spans="1:20">
      <c r="A37" s="3" t="s">
        <v>95</v>
      </c>
      <c r="B37" s="1">
        <v>44542</v>
      </c>
      <c r="C37">
        <v>12</v>
      </c>
      <c r="D37" t="s">
        <v>21</v>
      </c>
      <c r="E37">
        <v>2021</v>
      </c>
      <c r="F37">
        <v>36</v>
      </c>
      <c r="G37" s="8" t="s">
        <v>22</v>
      </c>
      <c r="H37" t="s">
        <v>23</v>
      </c>
      <c r="I37" t="str">
        <f t="shared" si="0"/>
        <v>Australia</v>
      </c>
      <c r="J37" t="s">
        <v>38</v>
      </c>
      <c r="K37" t="s">
        <v>39</v>
      </c>
      <c r="L37" t="s">
        <v>26</v>
      </c>
      <c r="M37" t="s">
        <v>27</v>
      </c>
      <c r="N37" s="5" t="s">
        <v>33</v>
      </c>
      <c r="O37">
        <v>4</v>
      </c>
      <c r="P37" s="2">
        <v>1266</v>
      </c>
      <c r="Q37" s="2">
        <v>2320</v>
      </c>
      <c r="R37" s="2">
        <v>4216</v>
      </c>
      <c r="S37" s="2">
        <f t="shared" si="1"/>
        <v>5064</v>
      </c>
      <c r="T37" s="2">
        <f t="shared" si="2"/>
        <v>9280</v>
      </c>
    </row>
    <row r="38" spans="1:20">
      <c r="A38" s="3" t="s">
        <v>96</v>
      </c>
      <c r="B38" s="1">
        <v>44542</v>
      </c>
      <c r="C38">
        <v>12</v>
      </c>
      <c r="D38" t="s">
        <v>21</v>
      </c>
      <c r="E38">
        <v>2021</v>
      </c>
      <c r="F38">
        <v>37</v>
      </c>
      <c r="G38" s="8" t="s">
        <v>22</v>
      </c>
      <c r="H38" t="s">
        <v>30</v>
      </c>
      <c r="I38" t="str">
        <f t="shared" si="0"/>
        <v>United States</v>
      </c>
      <c r="J38" t="s">
        <v>24</v>
      </c>
      <c r="K38" t="s">
        <v>25</v>
      </c>
      <c r="L38" t="s">
        <v>26</v>
      </c>
      <c r="M38" t="s">
        <v>27</v>
      </c>
      <c r="N38" s="5" t="s">
        <v>35</v>
      </c>
      <c r="O38">
        <v>4</v>
      </c>
      <c r="P38" s="2">
        <v>420</v>
      </c>
      <c r="Q38" s="2">
        <v>769</v>
      </c>
      <c r="R38" s="2">
        <v>1396</v>
      </c>
      <c r="S38" s="2">
        <f t="shared" si="1"/>
        <v>1680</v>
      </c>
      <c r="T38" s="2">
        <f t="shared" si="2"/>
        <v>3076</v>
      </c>
    </row>
    <row r="39" spans="1:20">
      <c r="A39" s="3" t="s">
        <v>97</v>
      </c>
      <c r="B39" s="1">
        <v>44542</v>
      </c>
      <c r="C39">
        <v>12</v>
      </c>
      <c r="D39" t="s">
        <v>21</v>
      </c>
      <c r="E39">
        <v>2021</v>
      </c>
      <c r="F39">
        <v>34</v>
      </c>
      <c r="G39" s="8" t="s">
        <v>37</v>
      </c>
      <c r="H39" t="s">
        <v>30</v>
      </c>
      <c r="I39" t="str">
        <f t="shared" si="0"/>
        <v>Australia</v>
      </c>
      <c r="J39" t="s">
        <v>38</v>
      </c>
      <c r="K39" t="s">
        <v>39</v>
      </c>
      <c r="L39" t="s">
        <v>26</v>
      </c>
      <c r="M39" t="s">
        <v>27</v>
      </c>
      <c r="N39" s="5" t="s">
        <v>45</v>
      </c>
      <c r="O39">
        <v>2</v>
      </c>
      <c r="P39" s="2">
        <v>1252</v>
      </c>
      <c r="Q39" s="2">
        <v>2295</v>
      </c>
      <c r="R39" s="2">
        <v>2086</v>
      </c>
      <c r="S39" s="2">
        <f t="shared" si="1"/>
        <v>2504</v>
      </c>
      <c r="T39" s="2">
        <f t="shared" si="2"/>
        <v>4590</v>
      </c>
    </row>
    <row r="40" spans="1:20">
      <c r="A40" s="3" t="s">
        <v>98</v>
      </c>
      <c r="B40" s="1">
        <v>44542</v>
      </c>
      <c r="C40">
        <v>12</v>
      </c>
      <c r="D40" t="s">
        <v>21</v>
      </c>
      <c r="E40">
        <v>2021</v>
      </c>
      <c r="F40">
        <v>35</v>
      </c>
      <c r="G40" s="8" t="s">
        <v>22</v>
      </c>
      <c r="H40" t="s">
        <v>23</v>
      </c>
      <c r="I40" t="str">
        <f t="shared" si="0"/>
        <v>Australia</v>
      </c>
      <c r="J40" t="s">
        <v>38</v>
      </c>
      <c r="K40" t="s">
        <v>76</v>
      </c>
      <c r="L40" t="s">
        <v>26</v>
      </c>
      <c r="M40" t="s">
        <v>27</v>
      </c>
      <c r="N40" s="5" t="s">
        <v>33</v>
      </c>
      <c r="O40">
        <v>1</v>
      </c>
      <c r="P40" s="2">
        <v>1266</v>
      </c>
      <c r="Q40" s="2">
        <v>2320</v>
      </c>
      <c r="R40" s="2">
        <v>1054</v>
      </c>
      <c r="S40" s="2">
        <f t="shared" si="1"/>
        <v>1266</v>
      </c>
      <c r="T40" s="2">
        <f t="shared" si="2"/>
        <v>2320</v>
      </c>
    </row>
    <row r="41" spans="1:20">
      <c r="A41" s="3" t="s">
        <v>99</v>
      </c>
      <c r="B41" s="1">
        <v>44542</v>
      </c>
      <c r="C41">
        <v>12</v>
      </c>
      <c r="D41" t="s">
        <v>21</v>
      </c>
      <c r="E41">
        <v>2021</v>
      </c>
      <c r="F41">
        <v>38</v>
      </c>
      <c r="G41" s="8" t="s">
        <v>22</v>
      </c>
      <c r="H41" t="s">
        <v>23</v>
      </c>
      <c r="I41" t="str">
        <f t="shared" si="0"/>
        <v>United States</v>
      </c>
      <c r="J41" t="s">
        <v>24</v>
      </c>
      <c r="K41" t="s">
        <v>48</v>
      </c>
      <c r="L41" t="s">
        <v>26</v>
      </c>
      <c r="M41" t="s">
        <v>27</v>
      </c>
      <c r="N41" s="5" t="s">
        <v>33</v>
      </c>
      <c r="O41">
        <v>1</v>
      </c>
      <c r="P41" s="2">
        <v>1266</v>
      </c>
      <c r="Q41" s="2">
        <v>2320</v>
      </c>
      <c r="R41" s="2">
        <v>1054</v>
      </c>
      <c r="S41" s="2">
        <f t="shared" si="1"/>
        <v>1266</v>
      </c>
      <c r="T41" s="2">
        <f t="shared" si="2"/>
        <v>2320</v>
      </c>
    </row>
    <row r="42" spans="1:20">
      <c r="A42" s="3" t="s">
        <v>100</v>
      </c>
      <c r="B42" s="1">
        <v>44543</v>
      </c>
      <c r="C42">
        <v>13</v>
      </c>
      <c r="D42" t="s">
        <v>21</v>
      </c>
      <c r="E42">
        <v>2021</v>
      </c>
      <c r="F42">
        <v>32</v>
      </c>
      <c r="G42" s="8" t="s">
        <v>37</v>
      </c>
      <c r="H42" t="s">
        <v>23</v>
      </c>
      <c r="I42" t="str">
        <f t="shared" si="0"/>
        <v>Australia</v>
      </c>
      <c r="J42" t="s">
        <v>38</v>
      </c>
      <c r="K42" t="s">
        <v>55</v>
      </c>
      <c r="L42" t="s">
        <v>26</v>
      </c>
      <c r="M42" t="s">
        <v>27</v>
      </c>
      <c r="N42" s="5" t="s">
        <v>33</v>
      </c>
      <c r="O42">
        <v>3</v>
      </c>
      <c r="P42" s="2">
        <v>1266</v>
      </c>
      <c r="Q42" s="2">
        <v>2320</v>
      </c>
      <c r="R42" s="2">
        <v>3162</v>
      </c>
      <c r="S42" s="2">
        <f t="shared" si="1"/>
        <v>3798</v>
      </c>
      <c r="T42" s="2">
        <f t="shared" si="2"/>
        <v>6960</v>
      </c>
    </row>
    <row r="43" spans="1:20">
      <c r="A43" s="3" t="s">
        <v>101</v>
      </c>
      <c r="B43" s="1">
        <v>44543</v>
      </c>
      <c r="C43">
        <v>13</v>
      </c>
      <c r="D43" t="s">
        <v>21</v>
      </c>
      <c r="E43">
        <v>2021</v>
      </c>
      <c r="F43">
        <v>40</v>
      </c>
      <c r="G43" s="8" t="s">
        <v>22</v>
      </c>
      <c r="H43" t="s">
        <v>23</v>
      </c>
      <c r="I43" t="str">
        <f t="shared" si="0"/>
        <v>United States</v>
      </c>
      <c r="J43" t="s">
        <v>24</v>
      </c>
      <c r="K43" t="s">
        <v>25</v>
      </c>
      <c r="L43" t="s">
        <v>26</v>
      </c>
      <c r="M43" t="s">
        <v>27</v>
      </c>
      <c r="N43" s="5" t="s">
        <v>102</v>
      </c>
      <c r="O43">
        <v>1</v>
      </c>
      <c r="P43" s="2">
        <v>308</v>
      </c>
      <c r="Q43" s="2">
        <v>565</v>
      </c>
      <c r="R43" s="2">
        <v>257</v>
      </c>
      <c r="S43" s="2">
        <f t="shared" si="1"/>
        <v>308</v>
      </c>
      <c r="T43" s="2">
        <f t="shared" si="2"/>
        <v>565</v>
      </c>
    </row>
    <row r="44" spans="1:20">
      <c r="A44" s="3" t="s">
        <v>103</v>
      </c>
      <c r="B44" s="1">
        <v>44543</v>
      </c>
      <c r="C44">
        <v>13</v>
      </c>
      <c r="D44" t="s">
        <v>21</v>
      </c>
      <c r="E44">
        <v>2021</v>
      </c>
      <c r="F44">
        <v>44</v>
      </c>
      <c r="G44" s="8" t="s">
        <v>22</v>
      </c>
      <c r="H44" t="s">
        <v>23</v>
      </c>
      <c r="I44" t="str">
        <f t="shared" si="0"/>
        <v>United Kingdom</v>
      </c>
      <c r="J44" t="s">
        <v>31</v>
      </c>
      <c r="K44" t="s">
        <v>32</v>
      </c>
      <c r="L44" t="s">
        <v>26</v>
      </c>
      <c r="M44" t="s">
        <v>27</v>
      </c>
      <c r="N44" s="5" t="s">
        <v>45</v>
      </c>
      <c r="O44">
        <v>1</v>
      </c>
      <c r="P44" s="2">
        <v>1252</v>
      </c>
      <c r="Q44" s="2">
        <v>2295</v>
      </c>
      <c r="R44" s="2">
        <v>1043</v>
      </c>
      <c r="S44" s="2">
        <f t="shared" si="1"/>
        <v>1252</v>
      </c>
      <c r="T44" s="2">
        <f t="shared" si="2"/>
        <v>2295</v>
      </c>
    </row>
    <row r="45" spans="1:20">
      <c r="A45" s="3" t="s">
        <v>104</v>
      </c>
      <c r="B45" s="1">
        <v>44543</v>
      </c>
      <c r="C45">
        <v>13</v>
      </c>
      <c r="D45" t="s">
        <v>21</v>
      </c>
      <c r="E45">
        <v>2021</v>
      </c>
      <c r="F45">
        <v>49</v>
      </c>
      <c r="G45" s="8" t="s">
        <v>22</v>
      </c>
      <c r="H45" t="s">
        <v>30</v>
      </c>
      <c r="I45" t="str">
        <f t="shared" si="0"/>
        <v>United Kingdom</v>
      </c>
      <c r="J45" t="s">
        <v>31</v>
      </c>
      <c r="K45" t="s">
        <v>32</v>
      </c>
      <c r="L45" t="s">
        <v>26</v>
      </c>
      <c r="M45" t="s">
        <v>27</v>
      </c>
      <c r="N45" s="5" t="s">
        <v>45</v>
      </c>
      <c r="O45">
        <v>1</v>
      </c>
      <c r="P45" s="2">
        <v>1252</v>
      </c>
      <c r="Q45" s="2">
        <v>2295</v>
      </c>
      <c r="R45" s="2">
        <v>1043</v>
      </c>
      <c r="S45" s="2">
        <f t="shared" si="1"/>
        <v>1252</v>
      </c>
      <c r="T45" s="2">
        <f t="shared" si="2"/>
        <v>2295</v>
      </c>
    </row>
    <row r="46" spans="1:20">
      <c r="A46" s="3" t="s">
        <v>105</v>
      </c>
      <c r="B46" s="1">
        <v>44544</v>
      </c>
      <c r="C46">
        <v>14</v>
      </c>
      <c r="D46" t="s">
        <v>21</v>
      </c>
      <c r="E46">
        <v>2021</v>
      </c>
      <c r="F46">
        <v>30</v>
      </c>
      <c r="G46" s="8" t="s">
        <v>37</v>
      </c>
      <c r="H46" t="s">
        <v>23</v>
      </c>
      <c r="I46" t="str">
        <f t="shared" si="0"/>
        <v>United States</v>
      </c>
      <c r="J46" t="s">
        <v>24</v>
      </c>
      <c r="K46" t="s">
        <v>48</v>
      </c>
      <c r="L46" t="s">
        <v>26</v>
      </c>
      <c r="M46" t="s">
        <v>27</v>
      </c>
      <c r="N46" s="5" t="s">
        <v>56</v>
      </c>
      <c r="O46">
        <v>2</v>
      </c>
      <c r="P46" s="2">
        <v>1266</v>
      </c>
      <c r="Q46" s="2">
        <v>2320</v>
      </c>
      <c r="R46" s="2">
        <v>2108</v>
      </c>
      <c r="S46" s="2">
        <f t="shared" si="1"/>
        <v>2532</v>
      </c>
      <c r="T46" s="2">
        <f t="shared" si="2"/>
        <v>4640</v>
      </c>
    </row>
    <row r="47" spans="1:20">
      <c r="A47" s="3" t="s">
        <v>106</v>
      </c>
      <c r="B47" s="1">
        <v>44544</v>
      </c>
      <c r="C47">
        <v>14</v>
      </c>
      <c r="D47" t="s">
        <v>21</v>
      </c>
      <c r="E47">
        <v>2021</v>
      </c>
      <c r="F47">
        <v>32</v>
      </c>
      <c r="G47" s="8" t="s">
        <v>37</v>
      </c>
      <c r="H47" t="s">
        <v>30</v>
      </c>
      <c r="I47" t="str">
        <f t="shared" si="0"/>
        <v>United States</v>
      </c>
      <c r="J47" t="s">
        <v>24</v>
      </c>
      <c r="K47" t="s">
        <v>25</v>
      </c>
      <c r="L47" t="s">
        <v>26</v>
      </c>
      <c r="M47" t="s">
        <v>27</v>
      </c>
      <c r="N47" s="5" t="s">
        <v>28</v>
      </c>
      <c r="O47">
        <v>1</v>
      </c>
      <c r="P47" s="2">
        <v>1252</v>
      </c>
      <c r="Q47" s="2">
        <v>2295</v>
      </c>
      <c r="R47" s="2">
        <v>1043</v>
      </c>
      <c r="S47" s="2">
        <f t="shared" si="1"/>
        <v>1252</v>
      </c>
      <c r="T47" s="2">
        <f t="shared" si="2"/>
        <v>2295</v>
      </c>
    </row>
    <row r="48" spans="1:20">
      <c r="A48" s="3" t="s">
        <v>107</v>
      </c>
      <c r="B48" s="1">
        <v>44544</v>
      </c>
      <c r="C48">
        <v>14</v>
      </c>
      <c r="D48" t="s">
        <v>21</v>
      </c>
      <c r="E48">
        <v>2021</v>
      </c>
      <c r="F48">
        <v>32</v>
      </c>
      <c r="G48" s="8" t="s">
        <v>37</v>
      </c>
      <c r="H48" t="s">
        <v>23</v>
      </c>
      <c r="I48" t="str">
        <f t="shared" si="0"/>
        <v>Australia</v>
      </c>
      <c r="J48" t="s">
        <v>38</v>
      </c>
      <c r="K48" t="s">
        <v>76</v>
      </c>
      <c r="L48" t="s">
        <v>26</v>
      </c>
      <c r="M48" t="s">
        <v>27</v>
      </c>
      <c r="N48" s="5" t="s">
        <v>35</v>
      </c>
      <c r="O48">
        <v>1</v>
      </c>
      <c r="P48" s="2">
        <v>420</v>
      </c>
      <c r="Q48" s="2">
        <v>769</v>
      </c>
      <c r="R48" s="2">
        <v>349</v>
      </c>
      <c r="S48" s="2">
        <f t="shared" si="1"/>
        <v>420</v>
      </c>
      <c r="T48" s="2">
        <f t="shared" si="2"/>
        <v>769</v>
      </c>
    </row>
    <row r="49" spans="1:20">
      <c r="A49" s="3" t="s">
        <v>108</v>
      </c>
      <c r="B49" s="1">
        <v>44545</v>
      </c>
      <c r="C49">
        <v>15</v>
      </c>
      <c r="D49" t="s">
        <v>21</v>
      </c>
      <c r="E49">
        <v>2021</v>
      </c>
      <c r="F49">
        <v>29</v>
      </c>
      <c r="G49" s="8" t="s">
        <v>37</v>
      </c>
      <c r="H49" t="s">
        <v>23</v>
      </c>
      <c r="I49" t="str">
        <f t="shared" si="0"/>
        <v>United States</v>
      </c>
      <c r="J49" t="s">
        <v>24</v>
      </c>
      <c r="K49" t="s">
        <v>25</v>
      </c>
      <c r="L49" t="s">
        <v>26</v>
      </c>
      <c r="M49" t="s">
        <v>27</v>
      </c>
      <c r="N49" s="5" t="s">
        <v>33</v>
      </c>
      <c r="O49">
        <v>1</v>
      </c>
      <c r="P49" s="2">
        <v>1266</v>
      </c>
      <c r="Q49" s="2">
        <v>2320</v>
      </c>
      <c r="R49" s="2">
        <v>1054</v>
      </c>
      <c r="S49" s="2">
        <f t="shared" si="1"/>
        <v>1266</v>
      </c>
      <c r="T49" s="2">
        <f t="shared" si="2"/>
        <v>2320</v>
      </c>
    </row>
    <row r="50" spans="1:20">
      <c r="A50" s="3" t="s">
        <v>109</v>
      </c>
      <c r="B50" s="1">
        <v>44546</v>
      </c>
      <c r="C50">
        <v>16</v>
      </c>
      <c r="D50" t="s">
        <v>21</v>
      </c>
      <c r="E50">
        <v>2021</v>
      </c>
      <c r="F50">
        <v>33</v>
      </c>
      <c r="G50" s="8" t="s">
        <v>37</v>
      </c>
      <c r="H50" t="s">
        <v>23</v>
      </c>
      <c r="I50" t="str">
        <f t="shared" si="0"/>
        <v>Australia</v>
      </c>
      <c r="J50" t="s">
        <v>38</v>
      </c>
      <c r="K50" t="s">
        <v>39</v>
      </c>
      <c r="L50" t="s">
        <v>26</v>
      </c>
      <c r="M50" t="s">
        <v>27</v>
      </c>
      <c r="N50" s="5" t="s">
        <v>45</v>
      </c>
      <c r="O50">
        <v>2</v>
      </c>
      <c r="P50" s="2">
        <v>1252</v>
      </c>
      <c r="Q50" s="2">
        <v>2295</v>
      </c>
      <c r="R50" s="2">
        <v>2086</v>
      </c>
      <c r="S50" s="2">
        <f t="shared" si="1"/>
        <v>2504</v>
      </c>
      <c r="T50" s="2">
        <f t="shared" si="2"/>
        <v>4590</v>
      </c>
    </row>
    <row r="51" spans="1:20">
      <c r="A51" s="3" t="s">
        <v>110</v>
      </c>
      <c r="B51" s="1">
        <v>44546</v>
      </c>
      <c r="C51">
        <v>16</v>
      </c>
      <c r="D51" t="s">
        <v>21</v>
      </c>
      <c r="E51">
        <v>2021</v>
      </c>
      <c r="F51">
        <v>38</v>
      </c>
      <c r="G51" s="8" t="s">
        <v>22</v>
      </c>
      <c r="H51" t="s">
        <v>30</v>
      </c>
      <c r="I51" t="str">
        <f t="shared" si="0"/>
        <v>Australia</v>
      </c>
      <c r="J51" t="s">
        <v>38</v>
      </c>
      <c r="K51" t="s">
        <v>39</v>
      </c>
      <c r="L51" t="s">
        <v>26</v>
      </c>
      <c r="M51" t="s">
        <v>27</v>
      </c>
      <c r="N51" s="5" t="s">
        <v>45</v>
      </c>
      <c r="O51">
        <v>2</v>
      </c>
      <c r="P51" s="2">
        <v>1252</v>
      </c>
      <c r="Q51" s="2">
        <v>2295</v>
      </c>
      <c r="R51" s="2">
        <v>2086</v>
      </c>
      <c r="S51" s="2">
        <f t="shared" si="1"/>
        <v>2504</v>
      </c>
      <c r="T51" s="2">
        <f t="shared" si="2"/>
        <v>4590</v>
      </c>
    </row>
    <row r="52" spans="1:20">
      <c r="A52" s="3" t="s">
        <v>111</v>
      </c>
      <c r="B52" s="1">
        <v>44546</v>
      </c>
      <c r="C52">
        <v>16</v>
      </c>
      <c r="D52" t="s">
        <v>21</v>
      </c>
      <c r="E52">
        <v>2021</v>
      </c>
      <c r="F52">
        <v>27</v>
      </c>
      <c r="G52" s="8" t="s">
        <v>37</v>
      </c>
      <c r="H52" t="s">
        <v>23</v>
      </c>
      <c r="I52" t="str">
        <f t="shared" si="0"/>
        <v>France</v>
      </c>
      <c r="J52" t="s">
        <v>89</v>
      </c>
      <c r="K52" t="s">
        <v>112</v>
      </c>
      <c r="L52" t="s">
        <v>26</v>
      </c>
      <c r="M52" t="s">
        <v>27</v>
      </c>
      <c r="N52" s="5" t="s">
        <v>113</v>
      </c>
      <c r="O52">
        <v>1</v>
      </c>
      <c r="P52" s="2">
        <v>1266</v>
      </c>
      <c r="Q52" s="2">
        <v>2320</v>
      </c>
      <c r="R52" s="2">
        <v>1054</v>
      </c>
      <c r="S52" s="2">
        <f t="shared" si="1"/>
        <v>1266</v>
      </c>
      <c r="T52" s="2">
        <f t="shared" si="2"/>
        <v>2320</v>
      </c>
    </row>
    <row r="53" spans="1:20">
      <c r="A53" s="3" t="s">
        <v>114</v>
      </c>
      <c r="B53" s="1">
        <v>44547</v>
      </c>
      <c r="C53">
        <v>17</v>
      </c>
      <c r="D53" t="s">
        <v>21</v>
      </c>
      <c r="E53">
        <v>2021</v>
      </c>
      <c r="F53">
        <v>37</v>
      </c>
      <c r="G53" s="8" t="s">
        <v>22</v>
      </c>
      <c r="H53" t="s">
        <v>23</v>
      </c>
      <c r="I53" t="str">
        <f t="shared" si="0"/>
        <v>United States</v>
      </c>
      <c r="J53" t="s">
        <v>24</v>
      </c>
      <c r="K53" t="s">
        <v>48</v>
      </c>
      <c r="L53" t="s">
        <v>26</v>
      </c>
      <c r="M53" t="s">
        <v>27</v>
      </c>
      <c r="N53" s="5" t="s">
        <v>56</v>
      </c>
      <c r="O53">
        <v>2</v>
      </c>
      <c r="P53" s="2">
        <v>1266</v>
      </c>
      <c r="Q53" s="2">
        <v>2320</v>
      </c>
      <c r="R53" s="2">
        <v>2108</v>
      </c>
      <c r="S53" s="2">
        <f t="shared" si="1"/>
        <v>2532</v>
      </c>
      <c r="T53" s="2">
        <f t="shared" si="2"/>
        <v>4640</v>
      </c>
    </row>
    <row r="54" spans="1:20">
      <c r="A54" s="3" t="s">
        <v>115</v>
      </c>
      <c r="B54" s="1">
        <v>44547</v>
      </c>
      <c r="C54">
        <v>17</v>
      </c>
      <c r="D54" t="s">
        <v>21</v>
      </c>
      <c r="E54">
        <v>2021</v>
      </c>
      <c r="F54">
        <v>31</v>
      </c>
      <c r="G54" s="8" t="s">
        <v>37</v>
      </c>
      <c r="H54" t="s">
        <v>30</v>
      </c>
      <c r="I54" t="str">
        <f t="shared" si="0"/>
        <v>Australia</v>
      </c>
      <c r="J54" t="s">
        <v>38</v>
      </c>
      <c r="K54" t="s">
        <v>39</v>
      </c>
      <c r="L54" t="s">
        <v>26</v>
      </c>
      <c r="M54" t="s">
        <v>27</v>
      </c>
      <c r="N54" s="5" t="s">
        <v>40</v>
      </c>
      <c r="O54">
        <v>1</v>
      </c>
      <c r="P54" s="2">
        <v>420</v>
      </c>
      <c r="Q54" s="2">
        <v>769</v>
      </c>
      <c r="R54" s="2">
        <v>349</v>
      </c>
      <c r="S54" s="2">
        <f t="shared" si="1"/>
        <v>420</v>
      </c>
      <c r="T54" s="2">
        <f t="shared" si="2"/>
        <v>769</v>
      </c>
    </row>
    <row r="55" spans="1:20">
      <c r="A55" s="3" t="s">
        <v>116</v>
      </c>
      <c r="B55" s="1">
        <v>44547</v>
      </c>
      <c r="C55">
        <v>17</v>
      </c>
      <c r="D55" t="s">
        <v>21</v>
      </c>
      <c r="E55">
        <v>2021</v>
      </c>
      <c r="F55">
        <v>42</v>
      </c>
      <c r="G55" s="8" t="s">
        <v>22</v>
      </c>
      <c r="H55" t="s">
        <v>23</v>
      </c>
      <c r="I55" t="str">
        <f t="shared" si="0"/>
        <v>Germany</v>
      </c>
      <c r="J55" t="s">
        <v>52</v>
      </c>
      <c r="K55" t="s">
        <v>53</v>
      </c>
      <c r="L55" t="s">
        <v>26</v>
      </c>
      <c r="M55" t="s">
        <v>27</v>
      </c>
      <c r="N55" s="5" t="s">
        <v>113</v>
      </c>
      <c r="O55">
        <v>1</v>
      </c>
      <c r="P55" s="2">
        <v>1266</v>
      </c>
      <c r="Q55" s="2">
        <v>2320</v>
      </c>
      <c r="R55" s="2">
        <v>1054</v>
      </c>
      <c r="S55" s="2">
        <f t="shared" si="1"/>
        <v>1266</v>
      </c>
      <c r="T55" s="2">
        <f t="shared" si="2"/>
        <v>2320</v>
      </c>
    </row>
    <row r="56" spans="1:20">
      <c r="A56" s="3" t="s">
        <v>117</v>
      </c>
      <c r="B56" s="1">
        <v>44548</v>
      </c>
      <c r="C56">
        <v>18</v>
      </c>
      <c r="D56" t="s">
        <v>21</v>
      </c>
      <c r="E56">
        <v>2021</v>
      </c>
      <c r="F56">
        <v>35</v>
      </c>
      <c r="G56" s="8" t="s">
        <v>22</v>
      </c>
      <c r="H56" t="s">
        <v>23</v>
      </c>
      <c r="I56" t="str">
        <f t="shared" si="0"/>
        <v>Australia</v>
      </c>
      <c r="J56" t="s">
        <v>38</v>
      </c>
      <c r="K56" t="s">
        <v>39</v>
      </c>
      <c r="L56" t="s">
        <v>26</v>
      </c>
      <c r="M56" t="s">
        <v>27</v>
      </c>
      <c r="N56" s="5" t="s">
        <v>69</v>
      </c>
      <c r="O56">
        <v>4</v>
      </c>
      <c r="P56" s="2">
        <v>308</v>
      </c>
      <c r="Q56" s="2">
        <v>565</v>
      </c>
      <c r="R56" s="2">
        <v>1028</v>
      </c>
      <c r="S56" s="2">
        <f t="shared" si="1"/>
        <v>1232</v>
      </c>
      <c r="T56" s="2">
        <f t="shared" si="2"/>
        <v>2260</v>
      </c>
    </row>
    <row r="57" spans="1:20">
      <c r="A57" s="3" t="s">
        <v>118</v>
      </c>
      <c r="B57" s="1">
        <v>44548</v>
      </c>
      <c r="C57">
        <v>18</v>
      </c>
      <c r="D57" t="s">
        <v>21</v>
      </c>
      <c r="E57">
        <v>2021</v>
      </c>
      <c r="F57">
        <v>38</v>
      </c>
      <c r="G57" s="8" t="s">
        <v>22</v>
      </c>
      <c r="H57" t="s">
        <v>23</v>
      </c>
      <c r="I57" t="str">
        <f t="shared" si="0"/>
        <v>Germany</v>
      </c>
      <c r="J57" t="s">
        <v>52</v>
      </c>
      <c r="K57" t="s">
        <v>53</v>
      </c>
      <c r="L57" t="s">
        <v>26</v>
      </c>
      <c r="M57" t="s">
        <v>27</v>
      </c>
      <c r="N57" s="5" t="s">
        <v>113</v>
      </c>
      <c r="O57">
        <v>4</v>
      </c>
      <c r="P57" s="2">
        <v>1266</v>
      </c>
      <c r="Q57" s="2">
        <v>2320</v>
      </c>
      <c r="R57" s="2">
        <v>4216</v>
      </c>
      <c r="S57" s="2">
        <f t="shared" si="1"/>
        <v>5064</v>
      </c>
      <c r="T57" s="2">
        <f t="shared" si="2"/>
        <v>9280</v>
      </c>
    </row>
    <row r="58" spans="1:20">
      <c r="A58" s="3" t="s">
        <v>119</v>
      </c>
      <c r="B58" s="1">
        <v>44548</v>
      </c>
      <c r="C58">
        <v>18</v>
      </c>
      <c r="D58" t="s">
        <v>21</v>
      </c>
      <c r="E58">
        <v>2021</v>
      </c>
      <c r="F58">
        <v>24</v>
      </c>
      <c r="G58" s="8" t="s">
        <v>44</v>
      </c>
      <c r="H58" t="s">
        <v>23</v>
      </c>
      <c r="I58" t="str">
        <f t="shared" si="0"/>
        <v>France</v>
      </c>
      <c r="J58" t="s">
        <v>89</v>
      </c>
      <c r="K58" t="s">
        <v>120</v>
      </c>
      <c r="L58" t="s">
        <v>26</v>
      </c>
      <c r="M58" t="s">
        <v>27</v>
      </c>
      <c r="N58" s="5" t="s">
        <v>56</v>
      </c>
      <c r="O58">
        <v>3</v>
      </c>
      <c r="P58" s="2">
        <v>1266</v>
      </c>
      <c r="Q58" s="2">
        <v>2320</v>
      </c>
      <c r="R58" s="2">
        <v>3162</v>
      </c>
      <c r="S58" s="2">
        <f t="shared" si="1"/>
        <v>3798</v>
      </c>
      <c r="T58" s="2">
        <f t="shared" si="2"/>
        <v>6960</v>
      </c>
    </row>
    <row r="59" spans="1:20">
      <c r="A59" s="3" t="s">
        <v>121</v>
      </c>
      <c r="B59" s="1">
        <v>44548</v>
      </c>
      <c r="C59">
        <v>18</v>
      </c>
      <c r="D59" t="s">
        <v>21</v>
      </c>
      <c r="E59">
        <v>2021</v>
      </c>
      <c r="F59">
        <v>26</v>
      </c>
      <c r="G59" s="8" t="s">
        <v>37</v>
      </c>
      <c r="H59" t="s">
        <v>23</v>
      </c>
      <c r="I59" t="str">
        <f t="shared" si="0"/>
        <v>United Kingdom</v>
      </c>
      <c r="J59" t="s">
        <v>31</v>
      </c>
      <c r="K59" t="s">
        <v>32</v>
      </c>
      <c r="L59" t="s">
        <v>26</v>
      </c>
      <c r="M59" t="s">
        <v>27</v>
      </c>
      <c r="N59" s="5" t="s">
        <v>40</v>
      </c>
      <c r="O59">
        <v>3</v>
      </c>
      <c r="P59" s="2">
        <v>420</v>
      </c>
      <c r="Q59" s="2">
        <v>769</v>
      </c>
      <c r="R59" s="2">
        <v>1047</v>
      </c>
      <c r="S59" s="2">
        <f t="shared" si="1"/>
        <v>1260</v>
      </c>
      <c r="T59" s="2">
        <f t="shared" si="2"/>
        <v>2307</v>
      </c>
    </row>
    <row r="60" spans="1:20">
      <c r="A60" s="3" t="s">
        <v>122</v>
      </c>
      <c r="B60" s="1">
        <v>44548</v>
      </c>
      <c r="C60">
        <v>18</v>
      </c>
      <c r="D60" t="s">
        <v>21</v>
      </c>
      <c r="E60">
        <v>2021</v>
      </c>
      <c r="F60">
        <v>39</v>
      </c>
      <c r="G60" s="8" t="s">
        <v>22</v>
      </c>
      <c r="H60" t="s">
        <v>30</v>
      </c>
      <c r="I60" t="str">
        <f t="shared" si="0"/>
        <v>United States</v>
      </c>
      <c r="J60" t="s">
        <v>24</v>
      </c>
      <c r="K60" t="s">
        <v>25</v>
      </c>
      <c r="L60" t="s">
        <v>26</v>
      </c>
      <c r="M60" t="s">
        <v>27</v>
      </c>
      <c r="N60" s="5" t="s">
        <v>63</v>
      </c>
      <c r="O60">
        <v>3</v>
      </c>
      <c r="P60" s="2">
        <v>1252</v>
      </c>
      <c r="Q60" s="2">
        <v>2295</v>
      </c>
      <c r="R60" s="2">
        <v>3129</v>
      </c>
      <c r="S60" s="2">
        <f t="shared" si="1"/>
        <v>3756</v>
      </c>
      <c r="T60" s="2">
        <f t="shared" si="2"/>
        <v>6885</v>
      </c>
    </row>
    <row r="61" spans="1:20">
      <c r="A61" s="3" t="s">
        <v>123</v>
      </c>
      <c r="B61" s="1">
        <v>44548</v>
      </c>
      <c r="C61">
        <v>18</v>
      </c>
      <c r="D61" t="s">
        <v>21</v>
      </c>
      <c r="E61">
        <v>2021</v>
      </c>
      <c r="F61">
        <v>26</v>
      </c>
      <c r="G61" s="8" t="s">
        <v>37</v>
      </c>
      <c r="H61" t="s">
        <v>30</v>
      </c>
      <c r="I61" t="str">
        <f t="shared" si="0"/>
        <v>France</v>
      </c>
      <c r="J61" t="s">
        <v>89</v>
      </c>
      <c r="K61" t="s">
        <v>90</v>
      </c>
      <c r="L61" t="s">
        <v>26</v>
      </c>
      <c r="M61" t="s">
        <v>27</v>
      </c>
      <c r="N61" s="5" t="s">
        <v>28</v>
      </c>
      <c r="O61">
        <v>1</v>
      </c>
      <c r="P61" s="2">
        <v>1252</v>
      </c>
      <c r="Q61" s="2">
        <v>2295</v>
      </c>
      <c r="R61" s="2">
        <v>1043</v>
      </c>
      <c r="S61" s="2">
        <f t="shared" si="1"/>
        <v>1252</v>
      </c>
      <c r="T61" s="2">
        <f t="shared" si="2"/>
        <v>2295</v>
      </c>
    </row>
    <row r="62" spans="1:20">
      <c r="A62" s="3" t="s">
        <v>124</v>
      </c>
      <c r="B62" s="1">
        <v>44548</v>
      </c>
      <c r="C62">
        <v>18</v>
      </c>
      <c r="D62" t="s">
        <v>21</v>
      </c>
      <c r="E62">
        <v>2021</v>
      </c>
      <c r="F62">
        <v>36</v>
      </c>
      <c r="G62" s="8" t="s">
        <v>22</v>
      </c>
      <c r="H62" t="s">
        <v>30</v>
      </c>
      <c r="I62" t="str">
        <f t="shared" si="0"/>
        <v>United States</v>
      </c>
      <c r="J62" t="s">
        <v>24</v>
      </c>
      <c r="K62" t="s">
        <v>48</v>
      </c>
      <c r="L62" t="s">
        <v>26</v>
      </c>
      <c r="M62" t="s">
        <v>27</v>
      </c>
      <c r="N62" s="5" t="s">
        <v>56</v>
      </c>
      <c r="O62">
        <v>1</v>
      </c>
      <c r="P62" s="2">
        <v>1266</v>
      </c>
      <c r="Q62" s="2">
        <v>2320</v>
      </c>
      <c r="R62" s="2">
        <v>1054</v>
      </c>
      <c r="S62" s="2">
        <f t="shared" si="1"/>
        <v>1266</v>
      </c>
      <c r="T62" s="2">
        <f t="shared" si="2"/>
        <v>2320</v>
      </c>
    </row>
    <row r="63" spans="1:20">
      <c r="A63" s="3" t="s">
        <v>125</v>
      </c>
      <c r="B63" s="1">
        <v>44549</v>
      </c>
      <c r="C63">
        <v>19</v>
      </c>
      <c r="D63" t="s">
        <v>21</v>
      </c>
      <c r="E63">
        <v>2021</v>
      </c>
      <c r="F63">
        <v>17</v>
      </c>
      <c r="G63" s="8" t="s">
        <v>44</v>
      </c>
      <c r="H63" t="s">
        <v>30</v>
      </c>
      <c r="I63" t="str">
        <f t="shared" si="0"/>
        <v>France</v>
      </c>
      <c r="J63" t="s">
        <v>89</v>
      </c>
      <c r="K63" t="s">
        <v>126</v>
      </c>
      <c r="L63" t="s">
        <v>26</v>
      </c>
      <c r="M63" t="s">
        <v>27</v>
      </c>
      <c r="N63" s="5" t="s">
        <v>113</v>
      </c>
      <c r="O63">
        <v>4</v>
      </c>
      <c r="P63" s="2">
        <v>1266</v>
      </c>
      <c r="Q63" s="2">
        <v>2320</v>
      </c>
      <c r="R63" s="2">
        <v>4216</v>
      </c>
      <c r="S63" s="2">
        <f t="shared" si="1"/>
        <v>5064</v>
      </c>
      <c r="T63" s="2">
        <f t="shared" si="2"/>
        <v>9280</v>
      </c>
    </row>
    <row r="64" spans="1:20">
      <c r="A64" s="3" t="s">
        <v>127</v>
      </c>
      <c r="B64" s="1">
        <v>44549</v>
      </c>
      <c r="C64">
        <v>19</v>
      </c>
      <c r="D64" t="s">
        <v>21</v>
      </c>
      <c r="E64">
        <v>2021</v>
      </c>
      <c r="F64">
        <v>19</v>
      </c>
      <c r="G64" s="8" t="s">
        <v>44</v>
      </c>
      <c r="H64" t="s">
        <v>23</v>
      </c>
      <c r="I64" t="str">
        <f t="shared" si="0"/>
        <v>Australia</v>
      </c>
      <c r="J64" t="s">
        <v>38</v>
      </c>
      <c r="K64" t="s">
        <v>76</v>
      </c>
      <c r="L64" t="s">
        <v>26</v>
      </c>
      <c r="M64" t="s">
        <v>27</v>
      </c>
      <c r="N64" s="5" t="s">
        <v>128</v>
      </c>
      <c r="O64">
        <v>4</v>
      </c>
      <c r="P64" s="2">
        <v>295</v>
      </c>
      <c r="Q64" s="2">
        <v>540</v>
      </c>
      <c r="R64" s="2">
        <v>980</v>
      </c>
      <c r="S64" s="2">
        <f t="shared" si="1"/>
        <v>1180</v>
      </c>
      <c r="T64" s="2">
        <f t="shared" si="2"/>
        <v>2160</v>
      </c>
    </row>
    <row r="65" spans="1:20">
      <c r="A65" s="3" t="s">
        <v>129</v>
      </c>
      <c r="B65" s="1">
        <v>44549</v>
      </c>
      <c r="C65">
        <v>19</v>
      </c>
      <c r="D65" t="s">
        <v>21</v>
      </c>
      <c r="E65">
        <v>2021</v>
      </c>
      <c r="F65">
        <v>25</v>
      </c>
      <c r="G65" s="8" t="s">
        <v>37</v>
      </c>
      <c r="H65" t="s">
        <v>30</v>
      </c>
      <c r="I65" t="str">
        <f t="shared" si="0"/>
        <v>France</v>
      </c>
      <c r="J65" t="s">
        <v>89</v>
      </c>
      <c r="K65" t="s">
        <v>90</v>
      </c>
      <c r="L65" t="s">
        <v>26</v>
      </c>
      <c r="M65" t="s">
        <v>27</v>
      </c>
      <c r="N65" s="5" t="s">
        <v>45</v>
      </c>
      <c r="O65">
        <v>4</v>
      </c>
      <c r="P65" s="2">
        <v>1252</v>
      </c>
      <c r="Q65" s="2">
        <v>2295</v>
      </c>
      <c r="R65" s="2">
        <v>4172</v>
      </c>
      <c r="S65" s="2">
        <f t="shared" si="1"/>
        <v>5008</v>
      </c>
      <c r="T65" s="2">
        <f t="shared" si="2"/>
        <v>9180</v>
      </c>
    </row>
    <row r="66" spans="1:20">
      <c r="A66" s="3" t="s">
        <v>130</v>
      </c>
      <c r="B66" s="1">
        <v>44549</v>
      </c>
      <c r="C66">
        <v>19</v>
      </c>
      <c r="D66" t="s">
        <v>21</v>
      </c>
      <c r="E66">
        <v>2021</v>
      </c>
      <c r="F66">
        <v>35</v>
      </c>
      <c r="G66" s="8" t="s">
        <v>22</v>
      </c>
      <c r="H66" t="s">
        <v>23</v>
      </c>
      <c r="I66" t="str">
        <f t="shared" si="0"/>
        <v>United States</v>
      </c>
      <c r="J66" t="s">
        <v>24</v>
      </c>
      <c r="K66" t="s">
        <v>72</v>
      </c>
      <c r="L66" t="s">
        <v>26</v>
      </c>
      <c r="M66" t="s">
        <v>27</v>
      </c>
      <c r="N66" s="5" t="s">
        <v>131</v>
      </c>
      <c r="O66">
        <v>4</v>
      </c>
      <c r="P66" s="2">
        <v>1898</v>
      </c>
      <c r="Q66" s="2">
        <v>3375</v>
      </c>
      <c r="R66" s="2">
        <v>5908</v>
      </c>
      <c r="S66" s="2">
        <f t="shared" si="1"/>
        <v>7592</v>
      </c>
      <c r="T66" s="2">
        <f t="shared" si="2"/>
        <v>13500</v>
      </c>
    </row>
    <row r="67" spans="1:20">
      <c r="A67" s="3" t="s">
        <v>132</v>
      </c>
      <c r="B67" s="1">
        <v>44549</v>
      </c>
      <c r="C67">
        <v>19</v>
      </c>
      <c r="D67" t="s">
        <v>21</v>
      </c>
      <c r="E67">
        <v>2021</v>
      </c>
      <c r="F67">
        <v>37</v>
      </c>
      <c r="G67" s="8" t="s">
        <v>22</v>
      </c>
      <c r="H67" t="s">
        <v>30</v>
      </c>
      <c r="I67" t="str">
        <f t="shared" ref="I67:I89" si="3">TRIM(J67)</f>
        <v>United States</v>
      </c>
      <c r="J67" t="s">
        <v>24</v>
      </c>
      <c r="K67" t="s">
        <v>72</v>
      </c>
      <c r="L67" t="s">
        <v>26</v>
      </c>
      <c r="M67" t="s">
        <v>27</v>
      </c>
      <c r="N67" s="5" t="s">
        <v>45</v>
      </c>
      <c r="O67">
        <v>4</v>
      </c>
      <c r="P67" s="2">
        <v>1252</v>
      </c>
      <c r="Q67" s="2">
        <v>2295</v>
      </c>
      <c r="R67" s="2">
        <v>4172</v>
      </c>
      <c r="S67" s="2">
        <f t="shared" ref="S67:S89" si="4">O67*P67</f>
        <v>5008</v>
      </c>
      <c r="T67" s="2">
        <f t="shared" ref="T67:T89" si="5">O67*Q67</f>
        <v>9180</v>
      </c>
    </row>
    <row r="68" spans="1:20">
      <c r="A68" s="3" t="s">
        <v>133</v>
      </c>
      <c r="B68" s="1">
        <v>44549</v>
      </c>
      <c r="C68">
        <v>19</v>
      </c>
      <c r="D68" t="s">
        <v>21</v>
      </c>
      <c r="E68">
        <v>2021</v>
      </c>
      <c r="F68">
        <v>39</v>
      </c>
      <c r="G68" s="8" t="s">
        <v>22</v>
      </c>
      <c r="H68" t="s">
        <v>23</v>
      </c>
      <c r="I68" t="str">
        <f t="shared" si="3"/>
        <v>United States</v>
      </c>
      <c r="J68" t="s">
        <v>24</v>
      </c>
      <c r="K68" t="s">
        <v>25</v>
      </c>
      <c r="L68" t="s">
        <v>26</v>
      </c>
      <c r="M68" t="s">
        <v>27</v>
      </c>
      <c r="N68" s="5" t="s">
        <v>28</v>
      </c>
      <c r="O68">
        <v>4</v>
      </c>
      <c r="P68" s="2">
        <v>1252</v>
      </c>
      <c r="Q68" s="2">
        <v>2295</v>
      </c>
      <c r="R68" s="2">
        <v>4172</v>
      </c>
      <c r="S68" s="2">
        <f t="shared" si="4"/>
        <v>5008</v>
      </c>
      <c r="T68" s="2">
        <f t="shared" si="5"/>
        <v>9180</v>
      </c>
    </row>
    <row r="69" spans="1:20">
      <c r="A69" s="3" t="s">
        <v>134</v>
      </c>
      <c r="B69" s="1">
        <v>44549</v>
      </c>
      <c r="C69">
        <v>19</v>
      </c>
      <c r="D69" t="s">
        <v>21</v>
      </c>
      <c r="E69">
        <v>2021</v>
      </c>
      <c r="F69">
        <v>63</v>
      </c>
      <c r="G69" s="8" t="s">
        <v>22</v>
      </c>
      <c r="H69" t="s">
        <v>23</v>
      </c>
      <c r="I69" t="str">
        <f t="shared" si="3"/>
        <v>Australia</v>
      </c>
      <c r="J69" t="s">
        <v>38</v>
      </c>
      <c r="K69" t="s">
        <v>55</v>
      </c>
      <c r="L69" t="s">
        <v>26</v>
      </c>
      <c r="M69" t="s">
        <v>27</v>
      </c>
      <c r="N69" s="5" t="s">
        <v>28</v>
      </c>
      <c r="O69">
        <v>4</v>
      </c>
      <c r="P69" s="2">
        <v>1252</v>
      </c>
      <c r="Q69" s="2">
        <v>2295</v>
      </c>
      <c r="R69" s="2">
        <v>4172</v>
      </c>
      <c r="S69" s="2">
        <f t="shared" si="4"/>
        <v>5008</v>
      </c>
      <c r="T69" s="2">
        <f t="shared" si="5"/>
        <v>9180</v>
      </c>
    </row>
    <row r="70" spans="1:20">
      <c r="A70" s="3" t="s">
        <v>135</v>
      </c>
      <c r="B70" s="1">
        <v>44549</v>
      </c>
      <c r="C70">
        <v>19</v>
      </c>
      <c r="D70" t="s">
        <v>21</v>
      </c>
      <c r="E70">
        <v>2021</v>
      </c>
      <c r="F70">
        <v>18</v>
      </c>
      <c r="G70" s="8" t="s">
        <v>44</v>
      </c>
      <c r="H70" t="s">
        <v>30</v>
      </c>
      <c r="I70" t="str">
        <f t="shared" si="3"/>
        <v>Australia</v>
      </c>
      <c r="J70" t="s">
        <v>38</v>
      </c>
      <c r="K70" t="s">
        <v>136</v>
      </c>
      <c r="L70" t="s">
        <v>26</v>
      </c>
      <c r="M70" t="s">
        <v>27</v>
      </c>
      <c r="N70" s="5" t="s">
        <v>84</v>
      </c>
      <c r="O70">
        <v>2</v>
      </c>
      <c r="P70" s="2">
        <v>295</v>
      </c>
      <c r="Q70" s="2">
        <v>540</v>
      </c>
      <c r="R70" s="2">
        <v>490</v>
      </c>
      <c r="S70" s="2">
        <f t="shared" si="4"/>
        <v>590</v>
      </c>
      <c r="T70" s="2">
        <f t="shared" si="5"/>
        <v>1080</v>
      </c>
    </row>
    <row r="71" spans="1:20">
      <c r="A71" s="3" t="s">
        <v>137</v>
      </c>
      <c r="B71" s="1">
        <v>44549</v>
      </c>
      <c r="C71">
        <v>19</v>
      </c>
      <c r="D71" t="s">
        <v>21</v>
      </c>
      <c r="E71">
        <v>2021</v>
      </c>
      <c r="F71">
        <v>56</v>
      </c>
      <c r="G71" s="8" t="s">
        <v>22</v>
      </c>
      <c r="H71" t="s">
        <v>23</v>
      </c>
      <c r="I71" t="str">
        <f t="shared" si="3"/>
        <v>Germany</v>
      </c>
      <c r="J71" t="s">
        <v>52</v>
      </c>
      <c r="K71" t="s">
        <v>138</v>
      </c>
      <c r="L71" t="s">
        <v>26</v>
      </c>
      <c r="M71" t="s">
        <v>27</v>
      </c>
      <c r="N71" s="5" t="s">
        <v>28</v>
      </c>
      <c r="O71">
        <v>2</v>
      </c>
      <c r="P71" s="2">
        <v>1252</v>
      </c>
      <c r="Q71" s="2">
        <v>2295</v>
      </c>
      <c r="R71" s="2">
        <v>2086</v>
      </c>
      <c r="S71" s="2">
        <f t="shared" si="4"/>
        <v>2504</v>
      </c>
      <c r="T71" s="2">
        <f t="shared" si="5"/>
        <v>4590</v>
      </c>
    </row>
    <row r="72" spans="1:20">
      <c r="A72" s="3" t="s">
        <v>139</v>
      </c>
      <c r="B72" s="1">
        <v>44549</v>
      </c>
      <c r="C72">
        <v>19</v>
      </c>
      <c r="D72" t="s">
        <v>21</v>
      </c>
      <c r="E72">
        <v>2021</v>
      </c>
      <c r="F72">
        <v>39</v>
      </c>
      <c r="G72" s="8" t="s">
        <v>22</v>
      </c>
      <c r="H72" t="s">
        <v>23</v>
      </c>
      <c r="I72" t="str">
        <f t="shared" si="3"/>
        <v>United States</v>
      </c>
      <c r="J72" t="s">
        <v>24</v>
      </c>
      <c r="K72" t="s">
        <v>48</v>
      </c>
      <c r="L72" t="s">
        <v>26</v>
      </c>
      <c r="M72" t="s">
        <v>27</v>
      </c>
      <c r="N72" s="5" t="s">
        <v>56</v>
      </c>
      <c r="O72">
        <v>1</v>
      </c>
      <c r="P72" s="2">
        <v>1266</v>
      </c>
      <c r="Q72" s="2">
        <v>2320</v>
      </c>
      <c r="R72" s="2">
        <v>1054</v>
      </c>
      <c r="S72" s="2">
        <f t="shared" si="4"/>
        <v>1266</v>
      </c>
      <c r="T72" s="2">
        <f t="shared" si="5"/>
        <v>2320</v>
      </c>
    </row>
    <row r="73" spans="1:20">
      <c r="A73" s="3" t="s">
        <v>140</v>
      </c>
      <c r="B73" s="1">
        <v>44550</v>
      </c>
      <c r="C73">
        <v>20</v>
      </c>
      <c r="D73" t="s">
        <v>21</v>
      </c>
      <c r="E73">
        <v>2021</v>
      </c>
      <c r="F73">
        <v>33</v>
      </c>
      <c r="G73" s="8" t="s">
        <v>37</v>
      </c>
      <c r="H73" t="s">
        <v>23</v>
      </c>
      <c r="I73" t="str">
        <f t="shared" si="3"/>
        <v>Australia</v>
      </c>
      <c r="J73" t="s">
        <v>38</v>
      </c>
      <c r="K73" t="s">
        <v>76</v>
      </c>
      <c r="L73" t="s">
        <v>26</v>
      </c>
      <c r="M73" t="s">
        <v>27</v>
      </c>
      <c r="N73" s="5" t="s">
        <v>77</v>
      </c>
      <c r="O73">
        <v>4</v>
      </c>
      <c r="P73" s="2">
        <v>1898</v>
      </c>
      <c r="Q73" s="2">
        <v>3375</v>
      </c>
      <c r="R73" s="2">
        <v>5908</v>
      </c>
      <c r="S73" s="2">
        <f t="shared" si="4"/>
        <v>7592</v>
      </c>
      <c r="T73" s="2">
        <f t="shared" si="5"/>
        <v>13500</v>
      </c>
    </row>
    <row r="74" spans="1:20">
      <c r="A74" s="3" t="s">
        <v>141</v>
      </c>
      <c r="B74" s="1">
        <v>44550</v>
      </c>
      <c r="C74">
        <v>20</v>
      </c>
      <c r="D74" t="s">
        <v>21</v>
      </c>
      <c r="E74">
        <v>2021</v>
      </c>
      <c r="F74">
        <v>57</v>
      </c>
      <c r="G74" s="8" t="s">
        <v>22</v>
      </c>
      <c r="H74" t="s">
        <v>30</v>
      </c>
      <c r="I74" t="str">
        <f t="shared" si="3"/>
        <v>Australia</v>
      </c>
      <c r="J74" t="s">
        <v>38</v>
      </c>
      <c r="K74" t="s">
        <v>55</v>
      </c>
      <c r="L74" t="s">
        <v>26</v>
      </c>
      <c r="M74" t="s">
        <v>27</v>
      </c>
      <c r="N74" s="5" t="s">
        <v>28</v>
      </c>
      <c r="O74">
        <v>4</v>
      </c>
      <c r="P74" s="2">
        <v>1252</v>
      </c>
      <c r="Q74" s="2">
        <v>2295</v>
      </c>
      <c r="R74" s="2">
        <v>4172</v>
      </c>
      <c r="S74" s="2">
        <f t="shared" si="4"/>
        <v>5008</v>
      </c>
      <c r="T74" s="2">
        <f t="shared" si="5"/>
        <v>9180</v>
      </c>
    </row>
    <row r="75" spans="1:20">
      <c r="A75" s="3" t="s">
        <v>142</v>
      </c>
      <c r="B75" s="1">
        <v>44550</v>
      </c>
      <c r="C75">
        <v>20</v>
      </c>
      <c r="D75" t="s">
        <v>21</v>
      </c>
      <c r="E75">
        <v>2021</v>
      </c>
      <c r="F75">
        <v>29</v>
      </c>
      <c r="G75" s="8" t="s">
        <v>37</v>
      </c>
      <c r="H75" t="s">
        <v>30</v>
      </c>
      <c r="I75" t="str">
        <f t="shared" si="3"/>
        <v>Canada</v>
      </c>
      <c r="J75" t="s">
        <v>60</v>
      </c>
      <c r="K75" t="s">
        <v>61</v>
      </c>
      <c r="L75" t="s">
        <v>26</v>
      </c>
      <c r="M75" t="s">
        <v>27</v>
      </c>
      <c r="N75" s="5" t="s">
        <v>143</v>
      </c>
      <c r="O75">
        <v>3</v>
      </c>
      <c r="P75" s="2">
        <v>295</v>
      </c>
      <c r="Q75" s="2">
        <v>540</v>
      </c>
      <c r="R75" s="2">
        <v>735</v>
      </c>
      <c r="S75" s="2">
        <f t="shared" si="4"/>
        <v>885</v>
      </c>
      <c r="T75" s="2">
        <f t="shared" si="5"/>
        <v>1620</v>
      </c>
    </row>
    <row r="76" spans="1:20">
      <c r="A76" s="3" t="s">
        <v>144</v>
      </c>
      <c r="B76" s="1">
        <v>44550</v>
      </c>
      <c r="C76">
        <v>20</v>
      </c>
      <c r="D76" t="s">
        <v>21</v>
      </c>
      <c r="E76">
        <v>2021</v>
      </c>
      <c r="F76">
        <v>35</v>
      </c>
      <c r="G76" s="8" t="s">
        <v>22</v>
      </c>
      <c r="H76" t="s">
        <v>23</v>
      </c>
      <c r="I76" t="str">
        <f t="shared" si="3"/>
        <v>Australia</v>
      </c>
      <c r="J76" t="s">
        <v>38</v>
      </c>
      <c r="K76" t="s">
        <v>55</v>
      </c>
      <c r="L76" t="s">
        <v>26</v>
      </c>
      <c r="M76" t="s">
        <v>27</v>
      </c>
      <c r="N76" s="5" t="s">
        <v>56</v>
      </c>
      <c r="O76">
        <v>1</v>
      </c>
      <c r="P76" s="2">
        <v>1266</v>
      </c>
      <c r="Q76" s="2">
        <v>2320</v>
      </c>
      <c r="R76" s="2">
        <v>1054</v>
      </c>
      <c r="S76" s="2">
        <f t="shared" si="4"/>
        <v>1266</v>
      </c>
      <c r="T76" s="2">
        <f t="shared" si="5"/>
        <v>2320</v>
      </c>
    </row>
    <row r="77" spans="1:20">
      <c r="A77" s="3" t="s">
        <v>145</v>
      </c>
      <c r="B77" s="1">
        <v>44550</v>
      </c>
      <c r="C77">
        <v>20</v>
      </c>
      <c r="D77" t="s">
        <v>21</v>
      </c>
      <c r="E77">
        <v>2021</v>
      </c>
      <c r="F77">
        <v>35</v>
      </c>
      <c r="G77" s="8" t="s">
        <v>22</v>
      </c>
      <c r="H77" t="s">
        <v>30</v>
      </c>
      <c r="I77" t="str">
        <f t="shared" si="3"/>
        <v>Australia</v>
      </c>
      <c r="J77" t="s">
        <v>38</v>
      </c>
      <c r="K77" t="s">
        <v>76</v>
      </c>
      <c r="L77" t="s">
        <v>26</v>
      </c>
      <c r="M77" t="s">
        <v>27</v>
      </c>
      <c r="N77" s="5" t="s">
        <v>56</v>
      </c>
      <c r="O77">
        <v>1</v>
      </c>
      <c r="P77" s="2">
        <v>1266</v>
      </c>
      <c r="Q77" s="2">
        <v>2320</v>
      </c>
      <c r="R77" s="2">
        <v>1054</v>
      </c>
      <c r="S77" s="2">
        <f t="shared" si="4"/>
        <v>1266</v>
      </c>
      <c r="T77" s="2">
        <f t="shared" si="5"/>
        <v>2320</v>
      </c>
    </row>
    <row r="78" spans="1:20">
      <c r="A78" s="3" t="s">
        <v>146</v>
      </c>
      <c r="B78" s="1">
        <v>44551</v>
      </c>
      <c r="C78">
        <v>21</v>
      </c>
      <c r="D78" t="s">
        <v>21</v>
      </c>
      <c r="E78">
        <v>2021</v>
      </c>
      <c r="F78">
        <v>26</v>
      </c>
      <c r="G78" s="8" t="s">
        <v>37</v>
      </c>
      <c r="H78" t="s">
        <v>30</v>
      </c>
      <c r="I78" t="str">
        <f t="shared" si="3"/>
        <v>France</v>
      </c>
      <c r="J78" t="s">
        <v>89</v>
      </c>
      <c r="K78" t="s">
        <v>147</v>
      </c>
      <c r="L78" t="s">
        <v>26</v>
      </c>
      <c r="M78" t="s">
        <v>27</v>
      </c>
      <c r="N78" s="5" t="s">
        <v>56</v>
      </c>
      <c r="O78">
        <v>3</v>
      </c>
      <c r="P78" s="2">
        <v>1266</v>
      </c>
      <c r="Q78" s="2">
        <v>2320</v>
      </c>
      <c r="R78" s="2">
        <v>3162</v>
      </c>
      <c r="S78" s="2">
        <f t="shared" si="4"/>
        <v>3798</v>
      </c>
      <c r="T78" s="2">
        <f t="shared" si="5"/>
        <v>6960</v>
      </c>
    </row>
    <row r="79" spans="1:20">
      <c r="A79" s="3" t="s">
        <v>148</v>
      </c>
      <c r="B79" s="1">
        <v>44551</v>
      </c>
      <c r="C79">
        <v>21</v>
      </c>
      <c r="D79" t="s">
        <v>21</v>
      </c>
      <c r="E79">
        <v>2021</v>
      </c>
      <c r="F79">
        <v>23</v>
      </c>
      <c r="G79" s="8" t="s">
        <v>44</v>
      </c>
      <c r="H79" t="s">
        <v>30</v>
      </c>
      <c r="I79" t="str">
        <f t="shared" si="3"/>
        <v>United Kingdom</v>
      </c>
      <c r="J79" t="s">
        <v>31</v>
      </c>
      <c r="K79" t="s">
        <v>32</v>
      </c>
      <c r="L79" t="s">
        <v>26</v>
      </c>
      <c r="M79" t="s">
        <v>27</v>
      </c>
      <c r="N79" s="5" t="s">
        <v>35</v>
      </c>
      <c r="O79">
        <v>2</v>
      </c>
      <c r="P79" s="2">
        <v>420</v>
      </c>
      <c r="Q79" s="2">
        <v>769</v>
      </c>
      <c r="R79" s="2">
        <v>698</v>
      </c>
      <c r="S79" s="2">
        <f t="shared" si="4"/>
        <v>840</v>
      </c>
      <c r="T79" s="2">
        <f t="shared" si="5"/>
        <v>1538</v>
      </c>
    </row>
    <row r="80" spans="1:20">
      <c r="A80" s="3" t="s">
        <v>149</v>
      </c>
      <c r="B80" s="1">
        <v>44552</v>
      </c>
      <c r="C80">
        <v>22</v>
      </c>
      <c r="D80" t="s">
        <v>21</v>
      </c>
      <c r="E80">
        <v>2021</v>
      </c>
      <c r="F80">
        <v>30</v>
      </c>
      <c r="G80" s="8" t="s">
        <v>37</v>
      </c>
      <c r="H80" t="s">
        <v>23</v>
      </c>
      <c r="I80" t="str">
        <f t="shared" si="3"/>
        <v>United States</v>
      </c>
      <c r="J80" t="s">
        <v>24</v>
      </c>
      <c r="K80" t="s">
        <v>48</v>
      </c>
      <c r="L80" t="s">
        <v>26</v>
      </c>
      <c r="M80" t="s">
        <v>27</v>
      </c>
      <c r="N80" s="5" t="s">
        <v>56</v>
      </c>
      <c r="O80">
        <v>3</v>
      </c>
      <c r="P80" s="2">
        <v>1266</v>
      </c>
      <c r="Q80" s="2">
        <v>2320</v>
      </c>
      <c r="R80" s="2">
        <v>3162</v>
      </c>
      <c r="S80" s="2">
        <f t="shared" si="4"/>
        <v>3798</v>
      </c>
      <c r="T80" s="2">
        <f t="shared" si="5"/>
        <v>6960</v>
      </c>
    </row>
    <row r="81" spans="1:20">
      <c r="A81" s="3" t="s">
        <v>150</v>
      </c>
      <c r="B81" s="1">
        <v>44552</v>
      </c>
      <c r="C81">
        <v>22</v>
      </c>
      <c r="D81" t="s">
        <v>21</v>
      </c>
      <c r="E81">
        <v>2021</v>
      </c>
      <c r="F81">
        <v>41</v>
      </c>
      <c r="G81" s="8" t="s">
        <v>22</v>
      </c>
      <c r="H81" t="s">
        <v>30</v>
      </c>
      <c r="I81" t="str">
        <f t="shared" si="3"/>
        <v>United States</v>
      </c>
      <c r="J81" t="s">
        <v>24</v>
      </c>
      <c r="K81" t="s">
        <v>25</v>
      </c>
      <c r="L81" t="s">
        <v>26</v>
      </c>
      <c r="M81" t="s">
        <v>27</v>
      </c>
      <c r="N81" s="5" t="s">
        <v>63</v>
      </c>
      <c r="O81">
        <v>3</v>
      </c>
      <c r="P81" s="2">
        <v>1252</v>
      </c>
      <c r="Q81" s="2">
        <v>2295</v>
      </c>
      <c r="R81" s="2">
        <v>3129</v>
      </c>
      <c r="S81" s="2">
        <f t="shared" si="4"/>
        <v>3756</v>
      </c>
      <c r="T81" s="2">
        <f t="shared" si="5"/>
        <v>6885</v>
      </c>
    </row>
    <row r="82" spans="1:20">
      <c r="A82" s="3" t="s">
        <v>151</v>
      </c>
      <c r="B82" s="1">
        <v>44552</v>
      </c>
      <c r="C82">
        <v>22</v>
      </c>
      <c r="D82" t="s">
        <v>21</v>
      </c>
      <c r="E82">
        <v>2021</v>
      </c>
      <c r="F82">
        <v>19</v>
      </c>
      <c r="G82" s="8" t="s">
        <v>44</v>
      </c>
      <c r="H82" t="s">
        <v>23</v>
      </c>
      <c r="I82" t="str">
        <f t="shared" si="3"/>
        <v>Australia</v>
      </c>
      <c r="J82" t="s">
        <v>38</v>
      </c>
      <c r="K82" t="s">
        <v>39</v>
      </c>
      <c r="L82" t="s">
        <v>26</v>
      </c>
      <c r="M82" t="s">
        <v>27</v>
      </c>
      <c r="N82" s="5" t="s">
        <v>69</v>
      </c>
      <c r="O82">
        <v>1</v>
      </c>
      <c r="P82" s="2">
        <v>308</v>
      </c>
      <c r="Q82" s="2">
        <v>565</v>
      </c>
      <c r="R82" s="2">
        <v>257</v>
      </c>
      <c r="S82" s="2">
        <f t="shared" si="4"/>
        <v>308</v>
      </c>
      <c r="T82" s="2">
        <f t="shared" si="5"/>
        <v>565</v>
      </c>
    </row>
    <row r="83" spans="1:20">
      <c r="A83" s="3" t="s">
        <v>152</v>
      </c>
      <c r="B83" s="1">
        <v>44552</v>
      </c>
      <c r="C83">
        <v>22</v>
      </c>
      <c r="D83" t="s">
        <v>21</v>
      </c>
      <c r="E83">
        <v>2021</v>
      </c>
      <c r="F83">
        <v>25</v>
      </c>
      <c r="G83" s="8" t="s">
        <v>37</v>
      </c>
      <c r="H83" t="s">
        <v>30</v>
      </c>
      <c r="I83" t="str">
        <f t="shared" si="3"/>
        <v>France</v>
      </c>
      <c r="J83" t="s">
        <v>89</v>
      </c>
      <c r="K83" t="s">
        <v>90</v>
      </c>
      <c r="L83" t="s">
        <v>26</v>
      </c>
      <c r="M83" t="s">
        <v>27</v>
      </c>
      <c r="N83" s="5" t="s">
        <v>45</v>
      </c>
      <c r="O83">
        <v>1</v>
      </c>
      <c r="P83" s="2">
        <v>1252</v>
      </c>
      <c r="Q83" s="2">
        <v>2295</v>
      </c>
      <c r="R83" s="2">
        <v>1043</v>
      </c>
      <c r="S83" s="2">
        <f t="shared" si="4"/>
        <v>1252</v>
      </c>
      <c r="T83" s="2">
        <f t="shared" si="5"/>
        <v>2295</v>
      </c>
    </row>
    <row r="84" spans="1:20">
      <c r="A84" s="3" t="s">
        <v>153</v>
      </c>
      <c r="B84" s="1">
        <v>44552</v>
      </c>
      <c r="C84">
        <v>22</v>
      </c>
      <c r="D84" t="s">
        <v>21</v>
      </c>
      <c r="E84">
        <v>2021</v>
      </c>
      <c r="F84">
        <v>27</v>
      </c>
      <c r="G84" s="8" t="s">
        <v>37</v>
      </c>
      <c r="H84" t="s">
        <v>23</v>
      </c>
      <c r="I84" t="str">
        <f t="shared" si="3"/>
        <v>Canada</v>
      </c>
      <c r="J84" t="s">
        <v>60</v>
      </c>
      <c r="K84" t="s">
        <v>61</v>
      </c>
      <c r="L84" t="s">
        <v>26</v>
      </c>
      <c r="M84" t="s">
        <v>27</v>
      </c>
      <c r="N84" s="5" t="s">
        <v>28</v>
      </c>
      <c r="O84">
        <v>1</v>
      </c>
      <c r="P84" s="2">
        <v>1252</v>
      </c>
      <c r="Q84" s="2">
        <v>2295</v>
      </c>
      <c r="R84" s="2">
        <v>1043</v>
      </c>
      <c r="S84" s="2">
        <f t="shared" si="4"/>
        <v>1252</v>
      </c>
      <c r="T84" s="2">
        <f t="shared" si="5"/>
        <v>2295</v>
      </c>
    </row>
    <row r="85" spans="1:20">
      <c r="A85" s="3" t="s">
        <v>154</v>
      </c>
      <c r="B85" s="1">
        <v>44552</v>
      </c>
      <c r="C85">
        <v>22</v>
      </c>
      <c r="D85" t="s">
        <v>21</v>
      </c>
      <c r="E85">
        <v>2021</v>
      </c>
      <c r="F85">
        <v>41</v>
      </c>
      <c r="G85" s="8" t="s">
        <v>22</v>
      </c>
      <c r="H85" t="s">
        <v>30</v>
      </c>
      <c r="I85" t="str">
        <f t="shared" si="3"/>
        <v>Germany</v>
      </c>
      <c r="J85" t="s">
        <v>52</v>
      </c>
      <c r="K85" t="s">
        <v>138</v>
      </c>
      <c r="L85" t="s">
        <v>26</v>
      </c>
      <c r="M85" t="s">
        <v>27</v>
      </c>
      <c r="N85" s="5" t="s">
        <v>56</v>
      </c>
      <c r="O85">
        <v>1</v>
      </c>
      <c r="P85" s="2">
        <v>1266</v>
      </c>
      <c r="Q85" s="2">
        <v>2320</v>
      </c>
      <c r="R85" s="2">
        <v>1054</v>
      </c>
      <c r="S85" s="2">
        <f t="shared" si="4"/>
        <v>1266</v>
      </c>
      <c r="T85" s="2">
        <f t="shared" si="5"/>
        <v>2320</v>
      </c>
    </row>
    <row r="86" spans="1:20">
      <c r="A86" s="3" t="s">
        <v>155</v>
      </c>
      <c r="B86" s="1">
        <v>44553</v>
      </c>
      <c r="C86">
        <v>23</v>
      </c>
      <c r="D86" t="s">
        <v>21</v>
      </c>
      <c r="E86">
        <v>2021</v>
      </c>
      <c r="F86">
        <v>30</v>
      </c>
      <c r="G86" s="8" t="s">
        <v>37</v>
      </c>
      <c r="H86" t="s">
        <v>23</v>
      </c>
      <c r="I86" t="str">
        <f t="shared" si="3"/>
        <v>United States</v>
      </c>
      <c r="J86" t="s">
        <v>24</v>
      </c>
      <c r="K86" t="s">
        <v>72</v>
      </c>
      <c r="L86" t="s">
        <v>26</v>
      </c>
      <c r="M86" t="s">
        <v>27</v>
      </c>
      <c r="N86" s="5" t="s">
        <v>33</v>
      </c>
      <c r="O86">
        <v>1</v>
      </c>
      <c r="P86" s="2">
        <v>1266</v>
      </c>
      <c r="Q86" s="2">
        <v>2320</v>
      </c>
      <c r="R86" s="2">
        <v>1054</v>
      </c>
      <c r="S86" s="2">
        <f t="shared" si="4"/>
        <v>1266</v>
      </c>
      <c r="T86" s="2">
        <f t="shared" si="5"/>
        <v>2320</v>
      </c>
    </row>
    <row r="87" spans="1:20">
      <c r="A87" s="3" t="s">
        <v>156</v>
      </c>
      <c r="B87" s="1">
        <v>44553</v>
      </c>
      <c r="C87">
        <v>23</v>
      </c>
      <c r="D87" t="s">
        <v>21</v>
      </c>
      <c r="E87">
        <v>2021</v>
      </c>
      <c r="F87">
        <v>31</v>
      </c>
      <c r="G87" s="8" t="s">
        <v>37</v>
      </c>
      <c r="H87" t="s">
        <v>23</v>
      </c>
      <c r="I87" t="str">
        <f t="shared" si="3"/>
        <v>Canada</v>
      </c>
      <c r="J87" t="s">
        <v>60</v>
      </c>
      <c r="K87" t="s">
        <v>61</v>
      </c>
      <c r="L87" t="s">
        <v>26</v>
      </c>
      <c r="M87" t="s">
        <v>27</v>
      </c>
      <c r="N87" s="5" t="s">
        <v>63</v>
      </c>
      <c r="O87">
        <v>1</v>
      </c>
      <c r="P87" s="2">
        <v>1252</v>
      </c>
      <c r="Q87" s="2">
        <v>2295</v>
      </c>
      <c r="R87" s="2">
        <v>1043</v>
      </c>
      <c r="S87" s="2">
        <f t="shared" si="4"/>
        <v>1252</v>
      </c>
      <c r="T87" s="2">
        <f t="shared" si="5"/>
        <v>2295</v>
      </c>
    </row>
    <row r="88" spans="1:20">
      <c r="A88" s="3" t="s">
        <v>157</v>
      </c>
      <c r="B88" s="1">
        <v>44553</v>
      </c>
      <c r="C88">
        <v>23</v>
      </c>
      <c r="D88" t="s">
        <v>21</v>
      </c>
      <c r="E88">
        <v>2021</v>
      </c>
      <c r="F88">
        <v>35</v>
      </c>
      <c r="G88" s="8" t="s">
        <v>22</v>
      </c>
      <c r="H88" t="s">
        <v>23</v>
      </c>
      <c r="I88" t="str">
        <f t="shared" si="3"/>
        <v>United States</v>
      </c>
      <c r="J88" t="s">
        <v>24</v>
      </c>
      <c r="K88" t="s">
        <v>25</v>
      </c>
      <c r="L88" t="s">
        <v>26</v>
      </c>
      <c r="M88" t="s">
        <v>27</v>
      </c>
      <c r="N88" s="5" t="s">
        <v>73</v>
      </c>
      <c r="O88">
        <v>1</v>
      </c>
      <c r="P88" s="2">
        <v>295</v>
      </c>
      <c r="Q88" s="2">
        <v>540</v>
      </c>
      <c r="R88" s="2">
        <v>245</v>
      </c>
      <c r="S88" s="2">
        <f t="shared" si="4"/>
        <v>295</v>
      </c>
      <c r="T88" s="2">
        <f t="shared" si="5"/>
        <v>540</v>
      </c>
    </row>
    <row r="89" spans="1:20">
      <c r="A89" s="3" t="s">
        <v>158</v>
      </c>
      <c r="B89" s="1">
        <v>44554</v>
      </c>
      <c r="C89">
        <v>24</v>
      </c>
      <c r="D89" t="s">
        <v>21</v>
      </c>
      <c r="E89">
        <v>2021</v>
      </c>
      <c r="F89">
        <v>38</v>
      </c>
      <c r="G89" s="8" t="s">
        <v>22</v>
      </c>
      <c r="H89" t="s">
        <v>30</v>
      </c>
      <c r="I89" t="str">
        <f t="shared" si="3"/>
        <v>Australia</v>
      </c>
      <c r="J89" t="s">
        <v>38</v>
      </c>
      <c r="K89" t="s">
        <v>55</v>
      </c>
      <c r="L89" t="s">
        <v>26</v>
      </c>
      <c r="M89" t="s">
        <v>27</v>
      </c>
      <c r="N89" s="5" t="s">
        <v>63</v>
      </c>
      <c r="O89">
        <v>4</v>
      </c>
      <c r="P89" s="2">
        <v>1252</v>
      </c>
      <c r="Q89" s="2">
        <v>2295</v>
      </c>
      <c r="R89" s="2">
        <v>4172</v>
      </c>
      <c r="S89" s="2">
        <f t="shared" si="4"/>
        <v>5008</v>
      </c>
      <c r="T89" s="2">
        <f t="shared" si="5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9DDE-0374-4157-9C2F-C7C9B5BA407C}">
  <dimension ref="A3:K15"/>
  <sheetViews>
    <sheetView workbookViewId="0">
      <selection activeCell="I14" sqref="I14"/>
    </sheetView>
  </sheetViews>
  <sheetFormatPr defaultRowHeight="15"/>
  <cols>
    <col min="1" max="1" width="22.42578125" bestFit="1" customWidth="1"/>
    <col min="2" max="2" width="20.85546875" style="11" bestFit="1" customWidth="1"/>
    <col min="3" max="3" width="11.42578125" style="11" bestFit="1" customWidth="1"/>
    <col min="4" max="4" width="7.7109375" style="11" bestFit="1" customWidth="1"/>
    <col min="5" max="5" width="7" style="11" bestFit="1" customWidth="1"/>
    <col min="6" max="6" width="9.28515625" style="11" bestFit="1" customWidth="1"/>
    <col min="7" max="7" width="13.85546875" style="11" bestFit="1" customWidth="1"/>
    <col min="8" max="8" width="15.7109375" bestFit="1" customWidth="1"/>
    <col min="9" max="9" width="13.28515625" bestFit="1" customWidth="1"/>
    <col min="10" max="10" width="13.85546875" bestFit="1" customWidth="1"/>
    <col min="11" max="11" width="11.7109375" bestFit="1" customWidth="1"/>
    <col min="12" max="12" width="20.85546875" bestFit="1" customWidth="1"/>
    <col min="13" max="13" width="11.7109375" bestFit="1" customWidth="1"/>
  </cols>
  <sheetData>
    <row r="3" spans="1:11">
      <c r="A3" s="9" t="s">
        <v>159</v>
      </c>
      <c r="B3"/>
      <c r="C3" s="9" t="s">
        <v>9</v>
      </c>
      <c r="H3" s="11"/>
      <c r="I3" s="11"/>
      <c r="J3" s="11"/>
      <c r="K3" s="11"/>
    </row>
    <row r="4" spans="1:11">
      <c r="A4" s="9" t="s">
        <v>6</v>
      </c>
      <c r="B4" s="9" t="s">
        <v>7</v>
      </c>
      <c r="C4" t="s">
        <v>38</v>
      </c>
      <c r="D4" t="s">
        <v>60</v>
      </c>
      <c r="E4" t="s">
        <v>89</v>
      </c>
      <c r="F4" t="s">
        <v>52</v>
      </c>
      <c r="G4" t="s">
        <v>42</v>
      </c>
      <c r="H4" t="s">
        <v>31</v>
      </c>
      <c r="I4" t="s">
        <v>24</v>
      </c>
      <c r="J4" t="s">
        <v>47</v>
      </c>
      <c r="K4" s="11" t="s">
        <v>160</v>
      </c>
    </row>
    <row r="5" spans="1:11">
      <c r="A5" t="s">
        <v>44</v>
      </c>
      <c r="B5" t="s">
        <v>23</v>
      </c>
      <c r="C5" s="11">
        <v>9</v>
      </c>
      <c r="E5" s="11">
        <v>6</v>
      </c>
      <c r="H5" s="11">
        <v>1</v>
      </c>
      <c r="I5" s="11"/>
      <c r="J5" s="11"/>
      <c r="K5" s="11">
        <v>16</v>
      </c>
    </row>
    <row r="6" spans="1:11">
      <c r="B6" t="s">
        <v>30</v>
      </c>
      <c r="C6" s="11">
        <v>2</v>
      </c>
      <c r="E6" s="11">
        <v>4</v>
      </c>
      <c r="H6" s="11">
        <v>5</v>
      </c>
      <c r="I6" s="11"/>
      <c r="J6" s="11"/>
      <c r="K6" s="11">
        <v>11</v>
      </c>
    </row>
    <row r="7" spans="1:11">
      <c r="A7" t="s">
        <v>161</v>
      </c>
      <c r="B7"/>
      <c r="C7" s="11">
        <v>11</v>
      </c>
      <c r="E7" s="11">
        <v>10</v>
      </c>
      <c r="H7" s="11">
        <v>6</v>
      </c>
      <c r="I7" s="11"/>
      <c r="J7" s="11"/>
      <c r="K7" s="11">
        <v>27</v>
      </c>
    </row>
    <row r="8" spans="1:11">
      <c r="A8" t="s">
        <v>37</v>
      </c>
      <c r="B8" t="s">
        <v>23</v>
      </c>
      <c r="C8" s="11">
        <v>17</v>
      </c>
      <c r="D8" s="11">
        <v>6</v>
      </c>
      <c r="E8" s="11">
        <v>1</v>
      </c>
      <c r="H8" s="11">
        <v>3</v>
      </c>
      <c r="I8" s="11">
        <v>10</v>
      </c>
      <c r="J8" s="11"/>
      <c r="K8" s="11">
        <v>37</v>
      </c>
    </row>
    <row r="9" spans="1:11">
      <c r="B9" t="s">
        <v>30</v>
      </c>
      <c r="C9" s="11">
        <v>3</v>
      </c>
      <c r="D9" s="11">
        <v>5</v>
      </c>
      <c r="E9" s="11">
        <v>9</v>
      </c>
      <c r="H9" s="11">
        <v>1</v>
      </c>
      <c r="I9" s="11">
        <v>6</v>
      </c>
      <c r="J9" s="11"/>
      <c r="K9" s="11">
        <v>24</v>
      </c>
    </row>
    <row r="10" spans="1:11">
      <c r="A10" t="s">
        <v>162</v>
      </c>
      <c r="B10"/>
      <c r="C10" s="11">
        <v>20</v>
      </c>
      <c r="D10" s="11">
        <v>11</v>
      </c>
      <c r="E10" s="11">
        <v>10</v>
      </c>
      <c r="H10" s="11">
        <v>4</v>
      </c>
      <c r="I10" s="11">
        <v>16</v>
      </c>
      <c r="J10" s="11"/>
      <c r="K10" s="11">
        <v>61</v>
      </c>
    </row>
    <row r="11" spans="1:11">
      <c r="A11" t="s">
        <v>22</v>
      </c>
      <c r="B11" t="s">
        <v>23</v>
      </c>
      <c r="C11" s="11">
        <v>17</v>
      </c>
      <c r="F11" s="11">
        <v>8</v>
      </c>
      <c r="G11" s="11">
        <v>2</v>
      </c>
      <c r="H11" s="11">
        <v>1</v>
      </c>
      <c r="I11" s="11">
        <v>27</v>
      </c>
      <c r="J11" s="11"/>
      <c r="K11" s="11">
        <v>55</v>
      </c>
    </row>
    <row r="12" spans="1:11">
      <c r="B12" t="s">
        <v>30</v>
      </c>
      <c r="C12" s="11">
        <v>15</v>
      </c>
      <c r="F12" s="11">
        <v>5</v>
      </c>
      <c r="H12" s="11">
        <v>3</v>
      </c>
      <c r="I12" s="11">
        <v>20</v>
      </c>
      <c r="J12" s="11">
        <v>1</v>
      </c>
      <c r="K12" s="11">
        <v>44</v>
      </c>
    </row>
    <row r="13" spans="1:11">
      <c r="A13" t="s">
        <v>163</v>
      </c>
      <c r="B13"/>
      <c r="C13" s="11">
        <v>32</v>
      </c>
      <c r="F13" s="11">
        <v>13</v>
      </c>
      <c r="G13" s="11">
        <v>2</v>
      </c>
      <c r="H13" s="11">
        <v>4</v>
      </c>
      <c r="I13" s="11">
        <v>47</v>
      </c>
      <c r="J13" s="11">
        <v>1</v>
      </c>
      <c r="K13" s="11">
        <v>99</v>
      </c>
    </row>
    <row r="14" spans="1:11">
      <c r="A14" t="s">
        <v>160</v>
      </c>
      <c r="B14"/>
      <c r="C14" s="11">
        <v>63</v>
      </c>
      <c r="D14" s="11">
        <v>11</v>
      </c>
      <c r="E14" s="11">
        <v>20</v>
      </c>
      <c r="F14" s="11">
        <v>13</v>
      </c>
      <c r="G14" s="11">
        <v>2</v>
      </c>
      <c r="H14" s="11">
        <v>14</v>
      </c>
      <c r="I14" s="11">
        <v>63</v>
      </c>
      <c r="J14" s="11">
        <v>1</v>
      </c>
      <c r="K14" s="11">
        <v>187</v>
      </c>
    </row>
    <row r="15" spans="1:11">
      <c r="B15"/>
      <c r="C15"/>
      <c r="D15"/>
      <c r="E15"/>
      <c r="F15"/>
      <c r="G1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1584-6C55-4CF0-B3F0-5E641AC62B1C}">
  <dimension ref="A1:E6"/>
  <sheetViews>
    <sheetView workbookViewId="0">
      <selection activeCell="E1" sqref="E1"/>
    </sheetView>
  </sheetViews>
  <sheetFormatPr defaultRowHeight="15"/>
  <cols>
    <col min="1" max="1" width="18.42578125" customWidth="1"/>
    <col min="2" max="2" width="25.85546875" customWidth="1"/>
    <col min="3" max="3" width="18.5703125" customWidth="1"/>
    <col min="4" max="4" width="12.85546875" customWidth="1"/>
  </cols>
  <sheetData>
    <row r="1" spans="1:5">
      <c r="A1" s="10" t="s">
        <v>164</v>
      </c>
      <c r="B1" s="10" t="s">
        <v>165</v>
      </c>
      <c r="C1" s="10" t="s">
        <v>166</v>
      </c>
      <c r="E1" s="10" t="s">
        <v>10</v>
      </c>
    </row>
    <row r="2" spans="1:5">
      <c r="A2" t="s">
        <v>167</v>
      </c>
      <c r="B2">
        <v>50</v>
      </c>
      <c r="C2" t="str" cm="1">
        <f t="array" ref="C2">_xlfn.SWITCH(B2, 23, "Low", 50, "Medium", 68, "High", "Default")</f>
        <v>Medium</v>
      </c>
      <c r="D2" t="str" cm="1">
        <f t="array" ref="D2">_xlfn.SWITCH(TRUE, B2&lt;25, "Fail", B2&lt;50, "Passed", B2&gt;=50, "Hight Score")</f>
        <v>Hight Score</v>
      </c>
      <c r="E2" t="str" cm="1">
        <f t="array" ref="E2">_xlfn.SWITCH(TRUE,B2&gt;=50, "Pass", B2&lt;50,"Fail")</f>
        <v>Pass</v>
      </c>
    </row>
    <row r="3" spans="1:5">
      <c r="A3" t="s">
        <v>168</v>
      </c>
      <c r="B3">
        <v>23</v>
      </c>
      <c r="C3" t="str" cm="1">
        <f t="array" ref="C3">_xlfn.SWITCH(B3, 23, "Low", 50, "Medium", 68, "High", "Default")</f>
        <v>Low</v>
      </c>
      <c r="D3" t="str" cm="1">
        <f t="array" ref="D3">_xlfn.SWITCH(TRUE, B3&lt;25, "Fail", B3&lt;50, "Passed", B3&gt;=50, "Hight Score")</f>
        <v>Fail</v>
      </c>
      <c r="E3" t="str" cm="1">
        <f t="array" ref="E3">_xlfn.SWITCH(TRUE,B3&gt;=50, "Pass", B3&lt;50,"Fail")</f>
        <v>Fail</v>
      </c>
    </row>
    <row r="4" spans="1:5">
      <c r="A4" t="s">
        <v>169</v>
      </c>
      <c r="B4">
        <v>57</v>
      </c>
      <c r="C4" t="str" cm="1">
        <f t="array" ref="C4">_xlfn.SWITCH(B4, 23, "Low", 50, "Medium", 68, "High", "Default")</f>
        <v>Default</v>
      </c>
      <c r="D4" t="str" cm="1">
        <f t="array" ref="D4">_xlfn.SWITCH(TRUE, B4&lt;25, "Fail", B4&lt;50, "Passed", B4&gt;=50, "Hight Score")</f>
        <v>Hight Score</v>
      </c>
      <c r="E4" t="str" cm="1">
        <f t="array" ref="E4">_xlfn.SWITCH(TRUE,B4&gt;=50, "Pass", B4&lt;50,"Fail")</f>
        <v>Pass</v>
      </c>
    </row>
    <row r="5" spans="1:5">
      <c r="A5" t="s">
        <v>170</v>
      </c>
      <c r="B5">
        <v>23</v>
      </c>
      <c r="C5" t="str" cm="1">
        <f t="array" ref="C5">_xlfn.SWITCH(B5, 23, "Low", 50, "Medium", 68, "High", "Default")</f>
        <v>Low</v>
      </c>
      <c r="D5" t="str" cm="1">
        <f t="array" ref="D5">_xlfn.SWITCH(TRUE, B5&lt;25, "Fail", B5&lt;50, "Passed", B5&gt;=50, "Hight Score")</f>
        <v>Fail</v>
      </c>
      <c r="E5" t="str" cm="1">
        <f t="array" ref="E5">_xlfn.SWITCH(TRUE,B5&gt;=50, "Pass", B5&lt;50,"Fail")</f>
        <v>Fail</v>
      </c>
    </row>
    <row r="6" spans="1:5">
      <c r="A6" t="s">
        <v>171</v>
      </c>
      <c r="B6">
        <v>68</v>
      </c>
      <c r="C6" t="str" cm="1">
        <f t="array" ref="C6">_xlfn.SWITCH(B6, 23, "Low", 50, "Medium", 68, "High", "Default")</f>
        <v>High</v>
      </c>
      <c r="D6" t="str" cm="1">
        <f t="array" ref="D6">_xlfn.SWITCH(TRUE, B6&lt;25, "Fail", B6&lt;50, "Passed", B6&gt;=50, "Hight Score")</f>
        <v>Hight Score</v>
      </c>
      <c r="E6" t="str" cm="1">
        <f t="array" ref="E6">_xlfn.SWITCH(TRUE,B6&gt;=50, "Pass", B6&lt;50,"Fail")</f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6F2E-90C8-4C5C-ACA8-223F05DA9845}">
  <dimension ref="A3:B12"/>
  <sheetViews>
    <sheetView workbookViewId="0">
      <selection activeCell="A3" sqref="A3"/>
    </sheetView>
  </sheetViews>
  <sheetFormatPr defaultRowHeight="15"/>
  <cols>
    <col min="1" max="1" width="15.42578125" bestFit="1" customWidth="1"/>
    <col min="2" max="3" width="14" bestFit="1" customWidth="1"/>
  </cols>
  <sheetData>
    <row r="3" spans="1:2">
      <c r="A3" s="9" t="s">
        <v>9</v>
      </c>
      <c r="B3" t="s">
        <v>172</v>
      </c>
    </row>
    <row r="4" spans="1:2">
      <c r="A4" t="s">
        <v>38</v>
      </c>
      <c r="B4" s="2">
        <v>50326</v>
      </c>
    </row>
    <row r="5" spans="1:2">
      <c r="A5" t="s">
        <v>60</v>
      </c>
      <c r="B5" s="2">
        <v>9123</v>
      </c>
    </row>
    <row r="6" spans="1:2">
      <c r="A6" t="s">
        <v>89</v>
      </c>
      <c r="B6" s="2">
        <v>20981</v>
      </c>
    </row>
    <row r="7" spans="1:2">
      <c r="A7" t="s">
        <v>52</v>
      </c>
      <c r="B7" s="2">
        <v>13636</v>
      </c>
    </row>
    <row r="8" spans="1:2">
      <c r="A8" t="s">
        <v>42</v>
      </c>
      <c r="B8" s="2">
        <v>2086</v>
      </c>
    </row>
    <row r="9" spans="1:2">
      <c r="A9" t="s">
        <v>31</v>
      </c>
      <c r="B9" s="2">
        <v>9072</v>
      </c>
    </row>
    <row r="10" spans="1:2">
      <c r="A10" t="s">
        <v>24</v>
      </c>
      <c r="B10" s="2">
        <v>57241</v>
      </c>
    </row>
    <row r="11" spans="1:2">
      <c r="A11" t="s">
        <v>47</v>
      </c>
      <c r="B11" s="2">
        <v>1043</v>
      </c>
    </row>
    <row r="12" spans="1:2">
      <c r="A12" t="s">
        <v>160</v>
      </c>
      <c r="B12" s="2">
        <v>163508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874C-1C02-47D1-9276-C95786A32326}">
  <dimension ref="A3:B28"/>
  <sheetViews>
    <sheetView topLeftCell="A6" workbookViewId="0">
      <selection activeCell="K27" sqref="K27"/>
    </sheetView>
  </sheetViews>
  <sheetFormatPr defaultRowHeight="15"/>
  <cols>
    <col min="1" max="1" width="11.7109375" bestFit="1" customWidth="1"/>
    <col min="2" max="2" width="14" bestFit="1" customWidth="1"/>
  </cols>
  <sheetData>
    <row r="3" spans="1:2">
      <c r="A3" s="9" t="s">
        <v>1</v>
      </c>
      <c r="B3" t="s">
        <v>172</v>
      </c>
    </row>
    <row r="4" spans="1:2">
      <c r="A4" s="1">
        <v>44531</v>
      </c>
      <c r="B4" s="2">
        <v>5226</v>
      </c>
    </row>
    <row r="5" spans="1:2">
      <c r="A5" s="1">
        <v>44532</v>
      </c>
      <c r="B5" s="2">
        <v>1047</v>
      </c>
    </row>
    <row r="6" spans="1:2">
      <c r="A6" s="1">
        <v>44533</v>
      </c>
      <c r="B6" s="2">
        <v>4172</v>
      </c>
    </row>
    <row r="7" spans="1:2">
      <c r="A7" s="1">
        <v>44534</v>
      </c>
      <c r="B7" s="2">
        <v>1396</v>
      </c>
    </row>
    <row r="8" spans="1:2">
      <c r="A8" s="1">
        <v>44535</v>
      </c>
      <c r="B8" s="2">
        <v>10441</v>
      </c>
    </row>
    <row r="9" spans="1:2">
      <c r="A9" s="1">
        <v>44536</v>
      </c>
      <c r="B9" s="2">
        <v>4187</v>
      </c>
    </row>
    <row r="10" spans="1:2">
      <c r="A10" s="1">
        <v>44537</v>
      </c>
      <c r="B10" s="2">
        <v>3504</v>
      </c>
    </row>
    <row r="11" spans="1:2">
      <c r="A11" s="1">
        <v>44538</v>
      </c>
      <c r="B11" s="2">
        <v>7575</v>
      </c>
    </row>
    <row r="12" spans="1:2">
      <c r="A12" s="1">
        <v>44539</v>
      </c>
      <c r="B12" s="2">
        <v>4008</v>
      </c>
    </row>
    <row r="13" spans="1:2">
      <c r="A13" s="1">
        <v>44540</v>
      </c>
      <c r="B13" s="2">
        <v>7991</v>
      </c>
    </row>
    <row r="14" spans="1:2">
      <c r="A14" s="1">
        <v>44541</v>
      </c>
      <c r="B14" s="2">
        <v>6273</v>
      </c>
    </row>
    <row r="15" spans="1:2">
      <c r="A15" s="1">
        <v>44542</v>
      </c>
      <c r="B15" s="2">
        <v>9806</v>
      </c>
    </row>
    <row r="16" spans="1:2">
      <c r="A16" s="1">
        <v>44543</v>
      </c>
      <c r="B16" s="2">
        <v>5505</v>
      </c>
    </row>
    <row r="17" spans="1:2">
      <c r="A17" s="1">
        <v>44544</v>
      </c>
      <c r="B17" s="2">
        <v>3500</v>
      </c>
    </row>
    <row r="18" spans="1:2">
      <c r="A18" s="1">
        <v>44545</v>
      </c>
      <c r="B18" s="2">
        <v>1054</v>
      </c>
    </row>
    <row r="19" spans="1:2">
      <c r="A19" s="1">
        <v>44546</v>
      </c>
      <c r="B19" s="2">
        <v>5226</v>
      </c>
    </row>
    <row r="20" spans="1:2">
      <c r="A20" s="1">
        <v>44547</v>
      </c>
      <c r="B20" s="2">
        <v>3511</v>
      </c>
    </row>
    <row r="21" spans="1:2">
      <c r="A21" s="1">
        <v>44548</v>
      </c>
      <c r="B21" s="2">
        <v>14679</v>
      </c>
    </row>
    <row r="22" spans="1:2">
      <c r="A22" s="1">
        <v>44549</v>
      </c>
      <c r="B22" s="2">
        <v>31422</v>
      </c>
    </row>
    <row r="23" spans="1:2">
      <c r="A23" s="1">
        <v>44550</v>
      </c>
      <c r="B23" s="2">
        <v>12923</v>
      </c>
    </row>
    <row r="24" spans="1:2">
      <c r="A24" s="1">
        <v>44551</v>
      </c>
      <c r="B24" s="2">
        <v>3860</v>
      </c>
    </row>
    <row r="25" spans="1:2">
      <c r="A25" s="1">
        <v>44552</v>
      </c>
      <c r="B25" s="2">
        <v>9688</v>
      </c>
    </row>
    <row r="26" spans="1:2">
      <c r="A26" s="1">
        <v>44553</v>
      </c>
      <c r="B26" s="2">
        <v>2342</v>
      </c>
    </row>
    <row r="27" spans="1:2">
      <c r="A27" s="1">
        <v>44554</v>
      </c>
      <c r="B27" s="2">
        <v>4172</v>
      </c>
    </row>
    <row r="28" spans="1:2">
      <c r="A28" s="1" t="s">
        <v>160</v>
      </c>
      <c r="B28" s="2">
        <v>163508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5B3A-5041-40D4-81FD-3C2FB432D6E5}">
  <dimension ref="A1:C13"/>
  <sheetViews>
    <sheetView workbookViewId="0">
      <selection activeCell="C10" sqref="C10"/>
    </sheetView>
  </sheetViews>
  <sheetFormatPr defaultRowHeight="15"/>
  <cols>
    <col min="1" max="1" width="15.140625" customWidth="1"/>
    <col min="2" max="2" width="19.140625" customWidth="1"/>
    <col min="3" max="3" width="12.42578125" style="21" customWidth="1"/>
  </cols>
  <sheetData>
    <row r="1" spans="1:3" ht="35.25">
      <c r="A1" s="12" t="s">
        <v>173</v>
      </c>
      <c r="B1" s="13" t="s">
        <v>174</v>
      </c>
      <c r="C1" s="18" t="s">
        <v>175</v>
      </c>
    </row>
    <row r="2" spans="1:3" ht="17.25">
      <c r="A2" s="14" t="s">
        <v>176</v>
      </c>
      <c r="B2" s="15" t="s">
        <v>177</v>
      </c>
      <c r="C2" s="19" t="s">
        <v>178</v>
      </c>
    </row>
    <row r="3" spans="1:3" ht="17.25">
      <c r="A3" s="14" t="s">
        <v>176</v>
      </c>
      <c r="B3" s="15" t="s">
        <v>179</v>
      </c>
      <c r="C3" s="19" t="s">
        <v>180</v>
      </c>
    </row>
    <row r="4" spans="1:3" ht="17.25">
      <c r="A4" s="14" t="s">
        <v>181</v>
      </c>
      <c r="B4" s="15" t="s">
        <v>177</v>
      </c>
      <c r="C4" s="19" t="s">
        <v>182</v>
      </c>
    </row>
    <row r="5" spans="1:3" ht="17.25">
      <c r="A5" s="14" t="s">
        <v>181</v>
      </c>
      <c r="B5" s="15" t="s">
        <v>183</v>
      </c>
      <c r="C5" s="19" t="s">
        <v>184</v>
      </c>
    </row>
    <row r="6" spans="1:3" ht="17.25">
      <c r="A6" s="14" t="s">
        <v>185</v>
      </c>
      <c r="B6" s="15" t="s">
        <v>179</v>
      </c>
      <c r="C6" s="19" t="s">
        <v>186</v>
      </c>
    </row>
    <row r="7" spans="1:3" ht="17.25">
      <c r="A7" s="14" t="s">
        <v>185</v>
      </c>
      <c r="B7" s="15" t="s">
        <v>177</v>
      </c>
      <c r="C7" s="19" t="s">
        <v>187</v>
      </c>
    </row>
    <row r="8" spans="1:3" ht="17.25">
      <c r="A8" s="14" t="s">
        <v>188</v>
      </c>
      <c r="B8" s="15" t="s">
        <v>183</v>
      </c>
      <c r="C8" s="19" t="s">
        <v>189</v>
      </c>
    </row>
    <row r="9" spans="1:3" ht="17.25">
      <c r="A9" s="14" t="s">
        <v>188</v>
      </c>
      <c r="B9" s="15" t="s">
        <v>179</v>
      </c>
      <c r="C9" s="19" t="s">
        <v>190</v>
      </c>
    </row>
    <row r="10" spans="1:3" ht="17.25">
      <c r="A10" s="14" t="s">
        <v>191</v>
      </c>
      <c r="B10" s="15" t="s">
        <v>177</v>
      </c>
      <c r="C10" s="19" t="s">
        <v>192</v>
      </c>
    </row>
    <row r="11" spans="1:3" ht="17.25">
      <c r="A11" s="14" t="s">
        <v>191</v>
      </c>
      <c r="B11" s="15" t="s">
        <v>183</v>
      </c>
      <c r="C11" s="19" t="s">
        <v>190</v>
      </c>
    </row>
    <row r="12" spans="1:3" ht="35.25">
      <c r="A12" s="14" t="s">
        <v>193</v>
      </c>
      <c r="B12" s="15" t="s">
        <v>179</v>
      </c>
      <c r="C12" s="19" t="s">
        <v>187</v>
      </c>
    </row>
    <row r="13" spans="1:3" ht="35.25">
      <c r="A13" s="16" t="s">
        <v>193</v>
      </c>
      <c r="B13" s="17" t="s">
        <v>177</v>
      </c>
      <c r="C13" s="20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96C7-3399-4428-BCDC-2DE9BA9E05FF}">
  <dimension ref="A3:E11"/>
  <sheetViews>
    <sheetView tabSelected="1" workbookViewId="0">
      <selection activeCell="A3" sqref="A3"/>
    </sheetView>
  </sheetViews>
  <sheetFormatPr defaultRowHeight="15"/>
  <cols>
    <col min="1" max="1" width="22" bestFit="1" customWidth="1"/>
    <col min="2" max="2" width="11.7109375" bestFit="1" customWidth="1"/>
    <col min="3" max="3" width="8.5703125" bestFit="1" customWidth="1"/>
    <col min="4" max="4" width="13.5703125" bestFit="1" customWidth="1"/>
    <col min="5" max="6" width="11.7109375" bestFit="1" customWidth="1"/>
  </cols>
  <sheetData>
    <row r="3" spans="1:5">
      <c r="A3" s="9" t="s">
        <v>194</v>
      </c>
      <c r="B3" s="9" t="s">
        <v>195</v>
      </c>
    </row>
    <row r="4" spans="1:5">
      <c r="A4" s="9" t="s">
        <v>196</v>
      </c>
      <c r="B4" t="s">
        <v>177</v>
      </c>
      <c r="C4" t="s">
        <v>183</v>
      </c>
      <c r="D4" t="s">
        <v>179</v>
      </c>
      <c r="E4" t="s">
        <v>160</v>
      </c>
    </row>
    <row r="5" spans="1:5">
      <c r="A5" t="s">
        <v>181</v>
      </c>
      <c r="B5">
        <v>1</v>
      </c>
      <c r="C5">
        <v>1</v>
      </c>
      <c r="E5">
        <v>2</v>
      </c>
    </row>
    <row r="6" spans="1:5">
      <c r="A6" t="s">
        <v>191</v>
      </c>
      <c r="B6">
        <v>1</v>
      </c>
      <c r="C6">
        <v>1</v>
      </c>
      <c r="E6">
        <v>2</v>
      </c>
    </row>
    <row r="7" spans="1:5">
      <c r="A7" t="s">
        <v>188</v>
      </c>
      <c r="C7">
        <v>1</v>
      </c>
      <c r="D7">
        <v>1</v>
      </c>
      <c r="E7">
        <v>2</v>
      </c>
    </row>
    <row r="8" spans="1:5">
      <c r="A8" t="s">
        <v>193</v>
      </c>
      <c r="B8">
        <v>1</v>
      </c>
      <c r="D8">
        <v>1</v>
      </c>
      <c r="E8">
        <v>2</v>
      </c>
    </row>
    <row r="9" spans="1:5">
      <c r="A9" t="s">
        <v>185</v>
      </c>
      <c r="B9">
        <v>1</v>
      </c>
      <c r="D9">
        <v>1</v>
      </c>
      <c r="E9">
        <v>2</v>
      </c>
    </row>
    <row r="10" spans="1:5">
      <c r="A10" t="s">
        <v>176</v>
      </c>
      <c r="B10">
        <v>1</v>
      </c>
      <c r="D10">
        <v>1</v>
      </c>
      <c r="E10">
        <v>2</v>
      </c>
    </row>
    <row r="11" spans="1:5">
      <c r="A11" t="s">
        <v>160</v>
      </c>
      <c r="B11">
        <v>5</v>
      </c>
      <c r="C11">
        <v>3</v>
      </c>
      <c r="D11">
        <v>4</v>
      </c>
      <c r="E11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78324e-29ea-4a9d-96f3-9c8ea2a85eb3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6779EE8AE884CBC5592A5DDCBD630" ma:contentTypeVersion="11" ma:contentTypeDescription="Create a new document." ma:contentTypeScope="" ma:versionID="295e719e595de3a5486b205bcbd9bb12">
  <xsd:schema xmlns:xsd="http://www.w3.org/2001/XMLSchema" xmlns:xs="http://www.w3.org/2001/XMLSchema" xmlns:p="http://schemas.microsoft.com/office/2006/metadata/properties" xmlns:ns2="e678324e-29ea-4a9d-96f3-9c8ea2a85eb3" xmlns:ns3="aed9edca-548a-45a6-aac5-f15d86531b89" targetNamespace="http://schemas.microsoft.com/office/2006/metadata/properties" ma:root="true" ma:fieldsID="5ab8bf95f15faa55654201201eac1532" ns2:_="" ns3:_="">
    <xsd:import namespace="e678324e-29ea-4a9d-96f3-9c8ea2a85eb3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8324e-29ea-4a9d-96f3-9c8ea2a85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35F411D-81DA-4134-9EDA-FBE36B29652C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2026-01-19T14:24:44Z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0x010100C6A6779EE8AE884CBC5592A5DDCBD630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